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ORAN VTS 2026\FORM A2 2026\JUNI\"/>
    </mc:Choice>
  </mc:AlternateContent>
  <xr:revisionPtr revIDLastSave="0" documentId="13_ncr:1_{5BEF7145-624E-4E8A-B614-97DAEA7DE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A2" sheetId="5" r:id="rId1"/>
    <sheet name="database.kpl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5" l="1"/>
  <c r="K33" i="5"/>
  <c r="J33" i="5"/>
  <c r="I33" i="5"/>
  <c r="B33" i="5"/>
  <c r="I34" i="5"/>
  <c r="J34" i="5"/>
  <c r="K34" i="5"/>
  <c r="B34" i="5"/>
  <c r="P34" i="5" s="1"/>
  <c r="K32" i="5" l="1"/>
  <c r="J32" i="5"/>
  <c r="I32" i="5"/>
  <c r="B32" i="5"/>
  <c r="P32" i="5" s="1"/>
  <c r="B27" i="5"/>
  <c r="P27" i="5" s="1"/>
  <c r="K31" i="5"/>
  <c r="J31" i="5"/>
  <c r="I31" i="5"/>
  <c r="B31" i="5"/>
  <c r="P31" i="5" s="1"/>
  <c r="K30" i="5"/>
  <c r="J30" i="5"/>
  <c r="I30" i="5"/>
  <c r="B30" i="5"/>
  <c r="P30" i="5" s="1"/>
  <c r="K29" i="5"/>
  <c r="J29" i="5"/>
  <c r="I29" i="5"/>
  <c r="B29" i="5"/>
  <c r="P29" i="5" s="1"/>
  <c r="K28" i="5"/>
  <c r="J28" i="5"/>
  <c r="I28" i="5"/>
  <c r="B28" i="5"/>
  <c r="P28" i="5" s="1"/>
  <c r="K27" i="5"/>
  <c r="J27" i="5"/>
  <c r="I27" i="5"/>
  <c r="K26" i="5"/>
  <c r="J26" i="5"/>
  <c r="I26" i="5"/>
  <c r="B26" i="5"/>
  <c r="P26" i="5" s="1"/>
  <c r="K25" i="5"/>
  <c r="J25" i="5"/>
  <c r="I25" i="5"/>
  <c r="B25" i="5"/>
  <c r="P25" i="5" s="1"/>
  <c r="K24" i="5"/>
  <c r="J24" i="5"/>
  <c r="I24" i="5"/>
  <c r="I21" i="5" l="1"/>
  <c r="J21" i="5"/>
  <c r="K21" i="5"/>
  <c r="I22" i="5"/>
  <c r="J22" i="5"/>
  <c r="K22" i="5"/>
  <c r="K17" i="5"/>
  <c r="I20" i="5" l="1"/>
  <c r="J20" i="5"/>
  <c r="K20" i="5"/>
  <c r="I23" i="5"/>
  <c r="J23" i="5"/>
  <c r="K23" i="5"/>
  <c r="B20" i="5"/>
  <c r="P20" i="5" s="1"/>
  <c r="B21" i="5"/>
  <c r="P21" i="5" s="1"/>
  <c r="B22" i="5"/>
  <c r="P22" i="5" s="1"/>
  <c r="B23" i="5"/>
  <c r="P23" i="5" s="1"/>
  <c r="B24" i="5"/>
  <c r="P24" i="5" s="1"/>
  <c r="J16" i="5" l="1"/>
  <c r="I19" i="5" l="1"/>
  <c r="J19" i="5"/>
  <c r="K19" i="5"/>
  <c r="J18" i="5" l="1"/>
  <c r="I16" i="5"/>
  <c r="K18" i="5" l="1"/>
  <c r="B19" i="5" l="1"/>
  <c r="P19" i="5" s="1"/>
  <c r="I18" i="5"/>
  <c r="B18" i="5"/>
  <c r="P18" i="5" s="1"/>
  <c r="J17" i="5"/>
  <c r="I17" i="5"/>
  <c r="B17" i="5"/>
  <c r="P17" i="5" s="1"/>
  <c r="B16" i="5" l="1"/>
  <c r="K16" i="5"/>
  <c r="P16" i="5" l="1"/>
  <c r="I2769" i="8" l="1"/>
</calcChain>
</file>

<file path=xl/sharedStrings.xml><?xml version="1.0" encoding="utf-8"?>
<sst xmlns="http://schemas.openxmlformats.org/spreadsheetml/2006/main" count="10174" uniqueCount="5570">
  <si>
    <t>Standard Operating Procedure</t>
  </si>
  <si>
    <t>FORM A2</t>
  </si>
  <si>
    <t>Ringkasan Lalu Lintas Kapal Harian</t>
  </si>
  <si>
    <t>Daily Vessel Summary</t>
  </si>
  <si>
    <t>Panjang VTS</t>
  </si>
  <si>
    <t>Sektor</t>
  </si>
  <si>
    <t xml:space="preserve">VTSO                 </t>
  </si>
  <si>
    <t>Waktu sandar, labuh</t>
  </si>
  <si>
    <t>jangkar, atau</t>
  </si>
  <si>
    <t>Nama kapal /</t>
  </si>
  <si>
    <t xml:space="preserve">Pelabuhan </t>
  </si>
  <si>
    <t>meninggalkan VTS</t>
  </si>
  <si>
    <t>Agen</t>
  </si>
  <si>
    <t>Keterangan</t>
  </si>
  <si>
    <t>Tanda panggil</t>
  </si>
  <si>
    <t>Asal</t>
  </si>
  <si>
    <t>Tujuan</t>
  </si>
  <si>
    <t>Agent</t>
  </si>
  <si>
    <t>Remarks</t>
  </si>
  <si>
    <t>Vessel / Call Sign</t>
  </si>
  <si>
    <t>Last Port</t>
  </si>
  <si>
    <t>Next Port</t>
  </si>
  <si>
    <t xml:space="preserve">Operator VTS </t>
  </si>
  <si>
    <t xml:space="preserve">Waktu </t>
  </si>
  <si>
    <t xml:space="preserve">Time </t>
  </si>
  <si>
    <t/>
  </si>
  <si>
    <t>Waktu</t>
  </si>
  <si>
    <t>Posisi Labuh</t>
  </si>
  <si>
    <t>Time</t>
  </si>
  <si>
    <t>ETA</t>
  </si>
  <si>
    <t>LOA</t>
  </si>
  <si>
    <t>GT</t>
  </si>
  <si>
    <t>DRAFT</t>
  </si>
  <si>
    <t>Cargo</t>
  </si>
  <si>
    <t>Muatan</t>
  </si>
  <si>
    <t>Tanggal</t>
  </si>
  <si>
    <t>Tahun</t>
  </si>
  <si>
    <t>MMSI</t>
  </si>
  <si>
    <t>17.30 LT - 08.00 LT</t>
  </si>
  <si>
    <t>TBP</t>
  </si>
  <si>
    <t>SSI</t>
  </si>
  <si>
    <t>PBUM</t>
  </si>
  <si>
    <t>BJP</t>
  </si>
  <si>
    <t>TLI</t>
  </si>
  <si>
    <t>MV. YASA H. MEHMET / TCMT2</t>
  </si>
  <si>
    <t>BTJ</t>
  </si>
  <si>
    <t>PSS</t>
  </si>
  <si>
    <t>RSS</t>
  </si>
  <si>
    <t>ALP</t>
  </si>
  <si>
    <t>DATA VESSEL</t>
  </si>
  <si>
    <t>NAMA VESSEL / CAL SIGN</t>
  </si>
  <si>
    <t>BENDERA</t>
  </si>
  <si>
    <t>AGEN</t>
  </si>
  <si>
    <t>AGEN ( SINGKATAN )</t>
  </si>
  <si>
    <t>6.2</t>
  </si>
  <si>
    <t>MV. PELICANA / LAJN8</t>
  </si>
  <si>
    <t>9.4</t>
  </si>
  <si>
    <t>KANAKA</t>
  </si>
  <si>
    <t xml:space="preserve"> </t>
  </si>
  <si>
    <t>4.1</t>
  </si>
  <si>
    <t>PT MA</t>
  </si>
  <si>
    <t>PT BTB</t>
  </si>
  <si>
    <t>MV. PACIFIC INTEGRITY / 3FIC9</t>
  </si>
  <si>
    <t>MV. NAGATO</t>
  </si>
  <si>
    <t>2.0</t>
  </si>
  <si>
    <t>MSJ</t>
  </si>
  <si>
    <t>PT MSC</t>
  </si>
  <si>
    <t>14.8</t>
  </si>
  <si>
    <t>PT SAI</t>
  </si>
  <si>
    <t>PT MSJ</t>
  </si>
  <si>
    <t>MV. PAN GLORIS / 3EAP7</t>
  </si>
  <si>
    <t>SAI</t>
  </si>
  <si>
    <t>KMP. MUTIARA FERRINDO 7 / YCDH2</t>
  </si>
  <si>
    <t>INDONESIA</t>
  </si>
  <si>
    <t>ATOSIM LAMPUNG PELAYARAN</t>
  </si>
  <si>
    <t>MV. YANGTZE DIGNITY/VRJW5</t>
  </si>
  <si>
    <t>SAMUDRA  AGENCIES INDONESIA</t>
  </si>
  <si>
    <t>MV JERSEY SPIRIT/YRNGS</t>
  </si>
  <si>
    <t>MT.GW DOLPHIN/YRSP7</t>
  </si>
  <si>
    <t>-</t>
  </si>
  <si>
    <t>MT. SILVER JOAN / VRPS8</t>
  </si>
  <si>
    <t>KM INTAN 51/YGXM</t>
  </si>
  <si>
    <t>MT GAS ARTEMIS/JZXN</t>
  </si>
  <si>
    <t>MV. JML ABADI / YFYC</t>
  </si>
  <si>
    <t>TMS</t>
  </si>
  <si>
    <t>MT. KUSUMA 2 / YGE5</t>
  </si>
  <si>
    <t>3.2</t>
  </si>
  <si>
    <t>AMS</t>
  </si>
  <si>
    <t>MV. BJS 1 / PLLO</t>
  </si>
  <si>
    <t>8.5</t>
  </si>
  <si>
    <t>SPOB. JUNEYOU MARU VI / PLMS</t>
  </si>
  <si>
    <t>4.5</t>
  </si>
  <si>
    <t>BMSL</t>
  </si>
  <si>
    <t>KM BARUNA FORTUNA 1/YGLS</t>
  </si>
  <si>
    <t>MT. PATRA TANKER 1 / PNEH</t>
  </si>
  <si>
    <t>3.8</t>
  </si>
  <si>
    <t>PTK</t>
  </si>
  <si>
    <t>MT. SYARIFA / JZOL</t>
  </si>
  <si>
    <t>MV.SAINTY GIANT/YCVO</t>
  </si>
  <si>
    <t>3.6</t>
  </si>
  <si>
    <t>SPB.SAINTY GOVENOR/YHYZ</t>
  </si>
  <si>
    <t>3.5</t>
  </si>
  <si>
    <t>MV. SAINTY GENERAL / YHYW</t>
  </si>
  <si>
    <t>SPOB ANUGRAH/YCMW</t>
  </si>
  <si>
    <t>7.9</t>
  </si>
  <si>
    <t>MT. SC DISC0VERY XLVI PMCU</t>
  </si>
  <si>
    <t>5.2</t>
  </si>
  <si>
    <t>MV. TRANSINDO 8 / PMXE</t>
  </si>
  <si>
    <t>SPOB. SEAGUL 201 / YHVR</t>
  </si>
  <si>
    <t>2.6</t>
  </si>
  <si>
    <t>SPOB. SEAGULL 351 / YBCE2</t>
  </si>
  <si>
    <t>MT. SEA ROYAL 27 / YBIR2</t>
  </si>
  <si>
    <t>5.0</t>
  </si>
  <si>
    <t>MV. ADHIGUNA TARAHAN / YDSM</t>
  </si>
  <si>
    <t>BA</t>
  </si>
  <si>
    <t>MT GAS NURI ARIZONA/PNKR</t>
  </si>
  <si>
    <t>MV. SARTIKA BARUNA / POSR</t>
  </si>
  <si>
    <t>MV. PREMIUM BAHARI / POHS</t>
  </si>
  <si>
    <t>KM. SUMBER REJEKI 88 / PNDS</t>
  </si>
  <si>
    <t>MV. INTAN 81 / YHQI</t>
  </si>
  <si>
    <t>MV. FORTUNE / PMPJ</t>
  </si>
  <si>
    <t>1.6</t>
  </si>
  <si>
    <t>MV. ISA VICTORY / JZJX</t>
  </si>
  <si>
    <t>MT. EDRICKO 6 / PMSW</t>
  </si>
  <si>
    <t>71.4</t>
  </si>
  <si>
    <t>MV JOCELINE/YCV7</t>
  </si>
  <si>
    <t>4.0</t>
  </si>
  <si>
    <t>MT. STEPHANIE XVIII / YFDQ</t>
  </si>
  <si>
    <t>MV. PETRO NUSANTARA/YEXK</t>
  </si>
  <si>
    <t>MT. SIL EXPRESS / PNDZ</t>
  </si>
  <si>
    <t>MV.TMS GLORY / JZMV</t>
  </si>
  <si>
    <t>6.7</t>
  </si>
  <si>
    <t>MTV MARUTRANS 1/JZSO</t>
  </si>
  <si>
    <t>4.4</t>
  </si>
  <si>
    <t>MT.BINTANG SAMUDERA T / YCHUZ</t>
  </si>
  <si>
    <t>7.8</t>
  </si>
  <si>
    <t>MT. SUCCES ALTAIR XLII / YBLZ</t>
  </si>
  <si>
    <t>MT. PUTRA SATRIA / PLHZ</t>
  </si>
  <si>
    <t>2.1</t>
  </si>
  <si>
    <t>MT ALMIRA XXII/PNOX</t>
  </si>
  <si>
    <t>4.2</t>
  </si>
  <si>
    <t>6.3</t>
  </si>
  <si>
    <t xml:space="preserve">TEM </t>
  </si>
  <si>
    <t>MT. TIMUR LAUT MAS 2 / JZAF</t>
  </si>
  <si>
    <t>MT. PANGERAN / YENS</t>
  </si>
  <si>
    <t>HSL</t>
  </si>
  <si>
    <t>MT.MARTHA OPTION/ PONO</t>
  </si>
  <si>
    <t>6.1</t>
  </si>
  <si>
    <t>MT KEI/YBBC2</t>
  </si>
  <si>
    <t>MV. TAISHO / POVI</t>
  </si>
  <si>
    <t>GSM</t>
  </si>
  <si>
    <t>KM SEJAHTERA 27/PNHT</t>
  </si>
  <si>
    <t>MV. WIRAS PERMATA / YFIG</t>
  </si>
  <si>
    <t>GBU</t>
  </si>
  <si>
    <t>ASP</t>
  </si>
  <si>
    <t>MT SUCCES MARLIN/33/YBMK2</t>
  </si>
  <si>
    <t>KM. TAREX 2 / PMXZ</t>
  </si>
  <si>
    <t>80.2</t>
  </si>
  <si>
    <t>6.10</t>
  </si>
  <si>
    <t>KM. MELLISA / PMCA</t>
  </si>
  <si>
    <t>TCK</t>
  </si>
  <si>
    <t>MV. KYOKUYO / YBPC2</t>
  </si>
  <si>
    <t>LCT. SERASI 12 / YCJX2</t>
  </si>
  <si>
    <t>MT PASAMAN/YCHE2</t>
  </si>
  <si>
    <t>4.7</t>
  </si>
  <si>
    <t>SI</t>
  </si>
  <si>
    <t>MV. MANDRAGUNA / YCBF2</t>
  </si>
  <si>
    <t>MV MERATUS LEMBAR/YCHY2</t>
  </si>
  <si>
    <t>MV. MERATUS PEMATANG SIANTAR / YDFWZ</t>
  </si>
  <si>
    <t>MV. MERATUS SAMARINDA</t>
  </si>
  <si>
    <t>SPOB LAKSAMANA MMZ / PMC1</t>
  </si>
  <si>
    <t>ADMIRAL LINES</t>
  </si>
  <si>
    <t>AL</t>
  </si>
  <si>
    <t>MV. ABM JUNJU / YCKK2</t>
  </si>
  <si>
    <t>MT. AKRA 101 / YCJV2</t>
  </si>
  <si>
    <t>3.7</t>
  </si>
  <si>
    <t>MT. MICHELLE XXV /  YCDY2</t>
  </si>
  <si>
    <t>8.3</t>
  </si>
  <si>
    <t>5.4</t>
  </si>
  <si>
    <t xml:space="preserve">TL-X /YGYH </t>
  </si>
  <si>
    <t>SPOB. PULOMAS JAYA / YCRC2</t>
  </si>
  <si>
    <t>SPOB BSP XXV / YDME2</t>
  </si>
  <si>
    <t>PT SEP</t>
  </si>
  <si>
    <t>SEP</t>
  </si>
  <si>
    <t>SYAMRAH</t>
  </si>
  <si>
    <t>KLM. BINTANG PERMATA / PNIU</t>
  </si>
  <si>
    <t>MV. MANALAGI VIRA / YDAJZ</t>
  </si>
  <si>
    <t>IDT</t>
  </si>
  <si>
    <t>MV. STAR LAPIS / C6EZ2</t>
  </si>
  <si>
    <t>10.7</t>
  </si>
  <si>
    <t>8.8</t>
  </si>
  <si>
    <t>198.9</t>
  </si>
  <si>
    <t>MV. YANGTZE KEEPER / V7JT7</t>
  </si>
  <si>
    <t>MT. SILVER EBELINA / V7NQ8</t>
  </si>
  <si>
    <t>MT. LAMIWURI 01 / PMCZ</t>
  </si>
  <si>
    <t>3.9</t>
  </si>
  <si>
    <t>MT. GOLDEN CYGNUS / 9V6167</t>
  </si>
  <si>
    <t>MT. CLEAROCEAN GINKGO / 9V7208</t>
  </si>
  <si>
    <t>12.4</t>
  </si>
  <si>
    <t>MT. FIRST LION / 9V7723</t>
  </si>
  <si>
    <t>MV. HOYANGER / 9VAW9</t>
  </si>
  <si>
    <t>10.25</t>
  </si>
  <si>
    <t>MV. GLORY CHALENGER / 9V6061</t>
  </si>
  <si>
    <t>MT. THERESA GENESIS / S6BJ3</t>
  </si>
  <si>
    <t>8.2</t>
  </si>
  <si>
    <t>MV. INTER STAVEDORING 8 / HSB6398</t>
  </si>
  <si>
    <t>MV. ADVANCE / D5PL9</t>
  </si>
  <si>
    <t>MV. AGIA TRIAS / D5QJ2</t>
  </si>
  <si>
    <t>MV. MSC TANIA / D5QM6</t>
  </si>
  <si>
    <t>10.8</t>
  </si>
  <si>
    <t>288/4131</t>
  </si>
  <si>
    <t>TB JOHAN JAYA 115 /YD3550 - TK KAPUAS JAYA 3120</t>
  </si>
  <si>
    <t>27,36/90,75</t>
  </si>
  <si>
    <t>212/3632</t>
  </si>
  <si>
    <t>3,2/5,1</t>
  </si>
  <si>
    <t>TB. JOHAN JAYA 125 / YDB4219 - TK. KAPUAS JAYA 331</t>
  </si>
  <si>
    <t>27/96</t>
  </si>
  <si>
    <t>232/4169</t>
  </si>
  <si>
    <t>3,7/5,7</t>
  </si>
  <si>
    <t>TB. TANJUNG BAHARI 10 / YD4630 - TK. ANGGADA XVIII</t>
  </si>
  <si>
    <t>118/1102</t>
  </si>
  <si>
    <t>141/2200</t>
  </si>
  <si>
    <t>TB. SANCHUAN VI / YD3394 - TK. ARIEL TRIJAYA VII</t>
  </si>
  <si>
    <t>19.2/62.43</t>
  </si>
  <si>
    <t>87/1315</t>
  </si>
  <si>
    <t>2.6/4.6</t>
  </si>
  <si>
    <t>216/4116</t>
  </si>
  <si>
    <t>TB. DUTA KAPUAS 16 / YDB4287 - TK. KAPUAS 313</t>
  </si>
  <si>
    <t>27.12/90.75</t>
  </si>
  <si>
    <t>3122/3632</t>
  </si>
  <si>
    <t>3.5/4</t>
  </si>
  <si>
    <t>TPB</t>
  </si>
  <si>
    <t>TB. SATRIA RAYA / YDA4674 - TK. KARYA MAJU</t>
  </si>
  <si>
    <t>20.8/52.6</t>
  </si>
  <si>
    <t>104/889</t>
  </si>
  <si>
    <t>3.1/3.15</t>
  </si>
  <si>
    <t>TB. CAVALO MARINHO 01 / YD3884 - TK. METRO 01</t>
  </si>
  <si>
    <t>24.3/71.9</t>
  </si>
  <si>
    <t>185/2085</t>
  </si>
  <si>
    <t>3.6/4.8</t>
  </si>
  <si>
    <t>27,17/90,72</t>
  </si>
  <si>
    <t>27/87</t>
  </si>
  <si>
    <t>207/3029</t>
  </si>
  <si>
    <t>2,8/0,8</t>
  </si>
  <si>
    <t xml:space="preserve">PTK </t>
  </si>
  <si>
    <t>RANB</t>
  </si>
  <si>
    <t>APS</t>
  </si>
  <si>
    <t>RAN</t>
  </si>
  <si>
    <t>ASJ</t>
  </si>
  <si>
    <t>BAG</t>
  </si>
  <si>
    <t>TB. TITAN 49 / YDB4017 - TK.  TITAN 50</t>
  </si>
  <si>
    <t>27/90</t>
  </si>
  <si>
    <t>274/3286</t>
  </si>
  <si>
    <t>3.5/4.5</t>
  </si>
  <si>
    <t>TB. JOHAN JAYA 128 / YDB4335 - TK. KAPUAS JAYA 3118</t>
  </si>
  <si>
    <t>27.17/90.72</t>
  </si>
  <si>
    <t>222/4116</t>
  </si>
  <si>
    <t>3.4/5.0</t>
  </si>
  <si>
    <t>DL</t>
  </si>
  <si>
    <t>TEM</t>
  </si>
  <si>
    <t>APT</t>
  </si>
  <si>
    <t>MV. BAHARI 28 / JZBY</t>
  </si>
  <si>
    <t>LSA</t>
  </si>
  <si>
    <t>7.1</t>
  </si>
  <si>
    <t xml:space="preserve">Sector   :              </t>
  </si>
  <si>
    <t xml:space="preserve">Date      :             </t>
  </si>
  <si>
    <t>Time Alongside,ancor or ETD</t>
  </si>
  <si>
    <t>Anchoring position</t>
  </si>
  <si>
    <t>PBP</t>
  </si>
  <si>
    <t>MV. AS SOPHIA/CQAB5</t>
  </si>
  <si>
    <t>27/91,5</t>
  </si>
  <si>
    <t>196/3913</t>
  </si>
  <si>
    <t>3,5/0,7</t>
  </si>
  <si>
    <t>TAS</t>
  </si>
  <si>
    <t>TB.CAMAR 8/YD3531 - TK.CAMAR LAUT 3302</t>
  </si>
  <si>
    <t>259/4792</t>
  </si>
  <si>
    <t>CARGO</t>
  </si>
  <si>
    <t>COAL</t>
  </si>
  <si>
    <t>PNP</t>
  </si>
  <si>
    <t>MV. ARIES/CQHF</t>
  </si>
  <si>
    <t>MV. BRAHMAN EXPRESS / LXFF</t>
  </si>
  <si>
    <t>MT. AIDEN II/H9YB</t>
  </si>
  <si>
    <t>MT. CRANE REGULUS/HONQ</t>
  </si>
  <si>
    <t>MV. NAVIOS PROSPERITY 1/HPLP</t>
  </si>
  <si>
    <t>MV. NAVI JENNY/3FIQ7</t>
  </si>
  <si>
    <t>MT. EAGLE/3EGN8</t>
  </si>
  <si>
    <t>CONTAINER</t>
  </si>
  <si>
    <t>BATUBARA</t>
  </si>
  <si>
    <t>MT. SILVER LEO / 3FJT4</t>
  </si>
  <si>
    <t>MV. MERATUS SAMPIT/YDKX2</t>
  </si>
  <si>
    <t>138/1590</t>
  </si>
  <si>
    <t>MV. MSC LIDIA /D5ZM4</t>
  </si>
  <si>
    <t>23.30/54.82</t>
  </si>
  <si>
    <t>114/950</t>
  </si>
  <si>
    <t>1.8/2,8</t>
  </si>
  <si>
    <t>TB AREK SUROBOYO 3/YDB6266 - TK BOSS V</t>
  </si>
  <si>
    <t>24/73</t>
  </si>
  <si>
    <t>150/2013</t>
  </si>
  <si>
    <t>3.1/3.6</t>
  </si>
  <si>
    <t>28.96/93.64</t>
  </si>
  <si>
    <t>4.30/6.10</t>
  </si>
  <si>
    <t>21.97/'73.15</t>
  </si>
  <si>
    <t>2.2/2.6</t>
  </si>
  <si>
    <t>28.3/79.27</t>
  </si>
  <si>
    <t>211/2698</t>
  </si>
  <si>
    <t>KMP. FERINDO 5 / YHUR</t>
  </si>
  <si>
    <t>TARUNA CIPTA KENCANA</t>
  </si>
  <si>
    <t>TRANSINDO BAHARI PERKASA</t>
  </si>
  <si>
    <t>HALUAN SEGARA LINE</t>
  </si>
  <si>
    <t>PERTAMINA TRANS KONSTINENTAL</t>
  </si>
  <si>
    <t>BP</t>
  </si>
  <si>
    <t>TRISNA MUDA SEJATI</t>
  </si>
  <si>
    <t>PELAYARAN BINTANG PUTUH</t>
  </si>
  <si>
    <t xml:space="preserve">TLI </t>
  </si>
  <si>
    <t>TB.BSP X / YD3885 - TK.BSP XI</t>
  </si>
  <si>
    <t>TB. MEGA POWER 16 / YD5170 - TK. FINANCIA 87</t>
  </si>
  <si>
    <t>23.50/76.20</t>
  </si>
  <si>
    <t>138/1861</t>
  </si>
  <si>
    <t>3/4.5</t>
  </si>
  <si>
    <t>27.70/97.54</t>
  </si>
  <si>
    <t>4.50/5.4</t>
  </si>
  <si>
    <t>KM. TANTO ALAM /JZEA</t>
  </si>
  <si>
    <t>MT. PALUH TABUAN/P1019/YDXZ</t>
  </si>
  <si>
    <t>MT. GAS WIDURI/POGF</t>
  </si>
  <si>
    <t>TB SRIKANDI BARUNA 2001 /YDB4812- TK. BARUNA POWER 3001</t>
  </si>
  <si>
    <t>MV. THALASSINI AGATHA/9HA5481</t>
  </si>
  <si>
    <t>MV. MATSUSHIRO/3FCX9</t>
  </si>
  <si>
    <t>MV. YU HONG/H8ER</t>
  </si>
  <si>
    <t>MT. ELIM/ D7EL</t>
  </si>
  <si>
    <t>MT. CNC BULL/D7AZ</t>
  </si>
  <si>
    <t>MV. SHANDONG HAIWANG/VRNH3</t>
  </si>
  <si>
    <t>MT. MAVERICK/9V2705</t>
  </si>
  <si>
    <t>MT. FORTITUDE/V7CR6</t>
  </si>
  <si>
    <t>MV. INLAND SEA / V7DS9</t>
  </si>
  <si>
    <t>MV. SOHO MERCHANT/V7IN2</t>
  </si>
  <si>
    <t>MV. GENCO VIGILANT/V7JE7</t>
  </si>
  <si>
    <t>MV. AS SOPHIA/CQABL</t>
  </si>
  <si>
    <t xml:space="preserve">MV. SAMUDRA PRATAMA /YFMD </t>
  </si>
  <si>
    <t>TB. JANGILUS LAUT/YDC4177 - TK. MASTER PIECE 318</t>
  </si>
  <si>
    <t>KLM. SOSIAL INDAH/YC5703</t>
  </si>
  <si>
    <t>KLM. SUMBER UTAMA KLG / YBZP2</t>
  </si>
  <si>
    <t>KLM. SAMUDRA PASAI/YC5673</t>
  </si>
  <si>
    <t>KLM. CAHAY BAHAGIA/POMT</t>
  </si>
  <si>
    <t>MT. TAMARISKA ABADI/PMBT</t>
  </si>
  <si>
    <t>MV. HOMANZAN/YCNJ2</t>
  </si>
  <si>
    <t>MT. MICHELLE XXV/YCDY2</t>
  </si>
  <si>
    <t>MV. DIAN PROSPERITY/YBMZ2</t>
  </si>
  <si>
    <t>MT. GRIYA BUGIS/YDMS2</t>
  </si>
  <si>
    <t>KM. SAHABAT MANDIRI 7/YDAX</t>
  </si>
  <si>
    <t>MT. NAGATO/PLDN</t>
  </si>
  <si>
    <t>MT. MERATUS GORONTALO/PNOB</t>
  </si>
  <si>
    <t>MV. DIAN CORDELIA/YBEM2</t>
  </si>
  <si>
    <t>98.2</t>
  </si>
  <si>
    <t>BSS</t>
  </si>
  <si>
    <t>BARUNA SAMUDERA SENTOSA</t>
  </si>
  <si>
    <t>MV.BARUNA RAYA/YGKD</t>
  </si>
  <si>
    <t>PNRJWN</t>
  </si>
  <si>
    <t>SERASI SHIPPING INDONESIA</t>
  </si>
  <si>
    <t>MV. MEDI GLADSTONE / 3EFL</t>
  </si>
  <si>
    <t>TIGADE ARTHA SAMUDERA</t>
  </si>
  <si>
    <t>MT. NTLEX 1 / 9MWL9</t>
  </si>
  <si>
    <t>KM. BINA MAKMUR / YEQV</t>
  </si>
  <si>
    <t>TB. TIRTA BAHARI 02 / YDA4772 - TK. MEGA BAHARI</t>
  </si>
  <si>
    <t>21,94/67,3</t>
  </si>
  <si>
    <t>94/1396</t>
  </si>
  <si>
    <t>2,6,/3,6</t>
  </si>
  <si>
    <t>MV. IRIANA / YBWX2</t>
  </si>
  <si>
    <t>BAHARI TIRTA JAYA</t>
  </si>
  <si>
    <t>GANJARAN SAMUDERA MANDIRI</t>
  </si>
  <si>
    <t>TB. PRIME II / YDA4967 - TK. TGH 2509</t>
  </si>
  <si>
    <t>TB. ENTERPRISE 2 / YDA3450 - TK. PACIFIC STAR 1</t>
  </si>
  <si>
    <t>MT. SINAR MATARAM / POTN</t>
  </si>
  <si>
    <t>MV. ODYSSEAS 1 / 5BHX4</t>
  </si>
  <si>
    <t>TB. KARYA AGUNG 19 / YD4023 - TK SUMBER JAYA 3022</t>
  </si>
  <si>
    <t>TB. KARIMUN ABADI 1 / YDA3125 - TK. SENTOSA 2502</t>
  </si>
  <si>
    <t>29/100</t>
  </si>
  <si>
    <t>222/4265</t>
  </si>
  <si>
    <t>22,03/73,15</t>
  </si>
  <si>
    <t>153/2209</t>
  </si>
  <si>
    <t>2,5/4,2</t>
  </si>
  <si>
    <t>272/3537</t>
  </si>
  <si>
    <t>22/76,25</t>
  </si>
  <si>
    <t>142/2212</t>
  </si>
  <si>
    <t>3,0/1,0</t>
  </si>
  <si>
    <t>133/3609</t>
  </si>
  <si>
    <t>27,9/133</t>
  </si>
  <si>
    <t>29,1/91,5</t>
  </si>
  <si>
    <t>210/3146</t>
  </si>
  <si>
    <t>PACIFIC SAMUDERA SENTOSA</t>
  </si>
  <si>
    <t>SSMJ</t>
  </si>
  <si>
    <t>SINAR SEGINIM MANNA JAYA</t>
  </si>
  <si>
    <t>BAHTERA ADHIGUNA</t>
  </si>
  <si>
    <t xml:space="preserve">BAHTERA ADHIGUNA </t>
  </si>
  <si>
    <t>24,9 / 89,8</t>
  </si>
  <si>
    <t>183 / 3154</t>
  </si>
  <si>
    <t>RADJA ARMADA NUSANTARA</t>
  </si>
  <si>
    <t>TB. SPGM 05 / YDA3237 - TK.MMSS 2505</t>
  </si>
  <si>
    <t>TB. MERPATI 1 / YDB4040 - TK. RAJAWALI 2301</t>
  </si>
  <si>
    <t>23,36 /67,30</t>
  </si>
  <si>
    <t>24,38 / 73,15</t>
  </si>
  <si>
    <t>1442/122</t>
  </si>
  <si>
    <t>3,2 / 4,27</t>
  </si>
  <si>
    <t>RIZKY ARMADA NUSANTARA BAHARI</t>
  </si>
  <si>
    <t>SAMUDRA INDONESIA</t>
  </si>
  <si>
    <t>SAMIN</t>
  </si>
  <si>
    <t>KM. MUTIA LADJONI 9 / PLKE</t>
  </si>
  <si>
    <t>MV. NAVE POLARIS/V7VQ6</t>
  </si>
  <si>
    <t>MT. SAMBONG HERA / D7EC</t>
  </si>
  <si>
    <t>MT. LUCAS / 3EAY7</t>
  </si>
  <si>
    <t>MV. GIROLANDO EXPRESS / 56QK</t>
  </si>
  <si>
    <t>MV. GLORY VOYAGER / 9V2458</t>
  </si>
  <si>
    <t>26/91,5</t>
  </si>
  <si>
    <t>TRIELANG INDO MARITIM</t>
  </si>
  <si>
    <t>TB. PANCARAN II 1815 / YDB4718 - TK. PMT II 1815</t>
  </si>
  <si>
    <t>TIM</t>
  </si>
  <si>
    <t>MV. SUMBER REJEKI VIII / YCRE</t>
  </si>
  <si>
    <t>TB. SATRIA MANDAL / YDB4899 - TK. ARTHA LUHUR</t>
  </si>
  <si>
    <t>21,9/67,3</t>
  </si>
  <si>
    <t>108/1937</t>
  </si>
  <si>
    <t>MV. HANSA HABURG / D5ZV9</t>
  </si>
  <si>
    <t>TB. JOHAN JAYA 128 / YDB4355 - TK. KAPUAS JAYA 3118</t>
  </si>
  <si>
    <t>MV. ICON EFESUS 17 / YBVN</t>
  </si>
  <si>
    <t>MV. MSC CORDELLIA III / A8TL8</t>
  </si>
  <si>
    <t>MV. STELLAR ARAG VI / D52F8</t>
  </si>
  <si>
    <t>2,0/6,0</t>
  </si>
  <si>
    <t>27/94</t>
  </si>
  <si>
    <t>2,0/3,0</t>
  </si>
  <si>
    <t>153/2670</t>
  </si>
  <si>
    <t>20,8/54,86</t>
  </si>
  <si>
    <t>BJS</t>
  </si>
  <si>
    <t>TRESNAMUDA SEJATI</t>
  </si>
  <si>
    <t>MV. HORAI / POAV</t>
  </si>
  <si>
    <t>ANDROMEDA DENTRAL PASIFIK</t>
  </si>
  <si>
    <t>TB. DRAGONET II / YDA4651 - TK. KUASA RM 3003</t>
  </si>
  <si>
    <t>28/87</t>
  </si>
  <si>
    <t>301/3118</t>
  </si>
  <si>
    <t>3,0/5,0</t>
  </si>
  <si>
    <t>MT. PALU SIPAT / YHKS</t>
  </si>
  <si>
    <t>KM. STB 36 / JZQG</t>
  </si>
  <si>
    <t>21,2/54,86</t>
  </si>
  <si>
    <t>111/836</t>
  </si>
  <si>
    <t>1,5/1,6</t>
  </si>
  <si>
    <t>MV. SUPER KATE / V7UN3</t>
  </si>
  <si>
    <t>MT. CISM 02 / YBEX2</t>
  </si>
  <si>
    <t>MT. EDRICKO 2 / PKVT</t>
  </si>
  <si>
    <t>REKSA SARANA SEGARA</t>
  </si>
  <si>
    <t>TB. ENTEBE STAR 28 / YDA6272 - TK. FINACIA 86</t>
  </si>
  <si>
    <t>MT. AMASNUSA / PMAV</t>
  </si>
  <si>
    <t>3,65/5,5</t>
  </si>
  <si>
    <t>188/3103</t>
  </si>
  <si>
    <t>24,3/87,84</t>
  </si>
  <si>
    <t>PELAYARAN BERKAT USAHA MANDIRI</t>
  </si>
  <si>
    <t>22/72</t>
  </si>
  <si>
    <t>146/2200</t>
  </si>
  <si>
    <t>3,5/5</t>
  </si>
  <si>
    <t>MV. MANALAGI ASTI / YDCS2</t>
  </si>
  <si>
    <t>MV. BEST TRAVELLER / HP5296</t>
  </si>
  <si>
    <t>BKP</t>
  </si>
  <si>
    <t>MV. GOLDEN ZHOUSNAN / VRH54</t>
  </si>
  <si>
    <t>TB. KIJANG MAS ENAM / YDA4863 - TK. BUMI PALM ENAM</t>
  </si>
  <si>
    <t>TB. ENTEBE STAR 27 - TK. FINANCIA 87</t>
  </si>
  <si>
    <t>28/76</t>
  </si>
  <si>
    <t>254/2606</t>
  </si>
  <si>
    <t>4.0/3.5</t>
  </si>
  <si>
    <t>24/87</t>
  </si>
  <si>
    <t>188/2972</t>
  </si>
  <si>
    <t>TB.JOHAN JAYA 113 / YDB3549 - TK.KAPUAS JAYA 3112</t>
  </si>
  <si>
    <t>TB. TUNAS SATRIA / YDA4673 - TK. DHARMA OPTIMA</t>
  </si>
  <si>
    <t>27.3692.61</t>
  </si>
  <si>
    <t>3.70/6.10</t>
  </si>
  <si>
    <t>27.01/90.71</t>
  </si>
  <si>
    <t>232/3593</t>
  </si>
  <si>
    <t>4.2/5.4</t>
  </si>
  <si>
    <t>TB. MOMENTUM 07 / YDA3374 - TK. MULTI 3005</t>
  </si>
  <si>
    <t>24/92</t>
  </si>
  <si>
    <t>208/3142</t>
  </si>
  <si>
    <t>3,6/4,7</t>
  </si>
  <si>
    <t>189/3117</t>
  </si>
  <si>
    <t>26/91,44</t>
  </si>
  <si>
    <t>27.02/90.75</t>
  </si>
  <si>
    <t>247/4120</t>
  </si>
  <si>
    <t>MV. MERATUS JIMBARAN / YDBH2</t>
  </si>
  <si>
    <t>261/5133</t>
  </si>
  <si>
    <t>MV. VALADON / V7EK2</t>
  </si>
  <si>
    <t>TB. AS JAYA 2 / YCDH2 - TK. AS GLORY 11</t>
  </si>
  <si>
    <t>197/2880</t>
  </si>
  <si>
    <t>MV. SHI DAI 8 / BPJA</t>
  </si>
  <si>
    <t>MV. LA CHAMBORDAIS / 9HA3584</t>
  </si>
  <si>
    <t>KM. BAHARI 12 / POLD</t>
  </si>
  <si>
    <t>3/4,1</t>
  </si>
  <si>
    <t>TB. JOHAN JAYA 122 / YDA4957 - TK. KAPUAS JAYA 332</t>
  </si>
  <si>
    <t>29,76/100,58</t>
  </si>
  <si>
    <t>3/5,0</t>
  </si>
  <si>
    <t>MT. MUNDU / YEGW</t>
  </si>
  <si>
    <t>TB. KIJANG MAS DUA / YDA4393 - TK. BUMI PALMA DUA</t>
  </si>
  <si>
    <t>28/91,44</t>
  </si>
  <si>
    <t>254/2818</t>
  </si>
  <si>
    <t>2,8/4,1</t>
  </si>
  <si>
    <t>NV. EMERALD DINGHAI / 5LDF2</t>
  </si>
  <si>
    <t>SPOB. CAVALO MARINHO 10 / YDCD2</t>
  </si>
  <si>
    <t>TB. MAIDEN CENDANA / YD2119 - TK. SENTANA ABADI</t>
  </si>
  <si>
    <t>26/74</t>
  </si>
  <si>
    <t>3/3,5</t>
  </si>
  <si>
    <t>3,65/4,8</t>
  </si>
  <si>
    <t>191/3196</t>
  </si>
  <si>
    <t>28/87,8</t>
  </si>
  <si>
    <t>26,8/3267</t>
  </si>
  <si>
    <t>3/4,8</t>
  </si>
  <si>
    <t>TB. ALPINE MARINE 26 - TK. NAUTICA 26</t>
  </si>
  <si>
    <t>KMP. TITIAN NUSANTARA / YD6S</t>
  </si>
  <si>
    <t>MV. SAKIZAYA STAR / D5WT5</t>
  </si>
  <si>
    <t>KMP. KUMALA / YGDU</t>
  </si>
  <si>
    <t>KMP. CIREMAI / YEUP</t>
  </si>
  <si>
    <t>KMP. PANORAMA NUSANTARA / YHKU</t>
  </si>
  <si>
    <t>KMP. MUTIARA BERKAH 1 / YBUA2</t>
  </si>
  <si>
    <t>MV. BAUHINIA / YBRT2</t>
  </si>
  <si>
    <t>TEIM</t>
  </si>
  <si>
    <t>MV. HONG TUAN 69 / 3WYX</t>
  </si>
  <si>
    <t>TB. ALBANY 3 / YDB4695 - TK. MITRA ABADI 5</t>
  </si>
  <si>
    <t>21,9/64,38</t>
  </si>
  <si>
    <t>103/1395</t>
  </si>
  <si>
    <t>2,65/3,5</t>
  </si>
  <si>
    <t>MV. THAI BINH 02 / 3WHM9</t>
  </si>
  <si>
    <t>MT. SEMAR 77 / PNTO</t>
  </si>
  <si>
    <t>29/110</t>
  </si>
  <si>
    <t>222/4346</t>
  </si>
  <si>
    <t>KM. ALPHA FORTUNER/PMUA</t>
  </si>
  <si>
    <t>TB. MARINA 30 / YD3848 - TK. KURNIA SAMUDERA 1</t>
  </si>
  <si>
    <t>27,36 / 87,78</t>
  </si>
  <si>
    <t>222/3016</t>
  </si>
  <si>
    <t>6,1/6,5</t>
  </si>
  <si>
    <t>MV. SUMIEI / PLLC</t>
  </si>
  <si>
    <t>MV. VOLOS / SUDE4</t>
  </si>
  <si>
    <t>MV. MIMASAKA III / 3EZJ6</t>
  </si>
  <si>
    <t>MV. DEVON EXPRESS / LXDB</t>
  </si>
  <si>
    <t>TB. PATRIA 4/YDA4959 - TK. ANAND 15</t>
  </si>
  <si>
    <t>MV. EDELWEISS / 5LEW8</t>
  </si>
  <si>
    <t>TB. YANG VITI III / YD4831 - TK. TOTO V</t>
  </si>
  <si>
    <t>23,76/67,3</t>
  </si>
  <si>
    <t>126/1417</t>
  </si>
  <si>
    <t>3/3,7</t>
  </si>
  <si>
    <t>MT. GRIYA JAWA / YBWZ2</t>
  </si>
  <si>
    <t>KN. EDAM / YCAD2</t>
  </si>
  <si>
    <t>TB. VOYAGER 16 / YD5117005 - TK. AZAMARA 06</t>
  </si>
  <si>
    <t>MT. BANGUN REJO / PM6E</t>
  </si>
  <si>
    <t>TB. MARTHA SYSTEM - TK. SENTANA</t>
  </si>
  <si>
    <t>5/7,0</t>
  </si>
  <si>
    <t>28,27/94,08</t>
  </si>
  <si>
    <t>230/3811</t>
  </si>
  <si>
    <t>KM.KARUNIA PERMAI/YFQD</t>
  </si>
  <si>
    <t>KERNEL</t>
  </si>
  <si>
    <t>30,20/102,42</t>
  </si>
  <si>
    <t>266/4358</t>
  </si>
  <si>
    <t>TB.SRIKANDI BARUNA 2002 / YDB4813 - TK. BARUNA POWER 3003</t>
  </si>
  <si>
    <t>27/87,78</t>
  </si>
  <si>
    <t>207/3894</t>
  </si>
  <si>
    <t>4/6,1</t>
  </si>
  <si>
    <t>269/8051</t>
  </si>
  <si>
    <t>TB.CAMAR 6/YD3515 - TK.CAMAR LAUT 3301</t>
  </si>
  <si>
    <t>28,8/90,7</t>
  </si>
  <si>
    <t>216/4233</t>
  </si>
  <si>
    <t>3,7/5,9</t>
  </si>
  <si>
    <t>TB. MEDELIN OCEAN / YDA6295 - TK. SENTANA SAMUDERA</t>
  </si>
  <si>
    <t>MV. AFRICAN SWAN / C6ZH7</t>
  </si>
  <si>
    <t>2,8/3,6</t>
  </si>
  <si>
    <t>2,9/2,8</t>
  </si>
  <si>
    <t>204/2447</t>
  </si>
  <si>
    <t>25/79</t>
  </si>
  <si>
    <t>18,5/73,15</t>
  </si>
  <si>
    <t>105/2013</t>
  </si>
  <si>
    <t>189/3190</t>
  </si>
  <si>
    <t>2,8/5,1</t>
  </si>
  <si>
    <t>KP. BHARATA-8004 / YDEO2</t>
  </si>
  <si>
    <t>MT. MULIA KARSA 1 / YHVA</t>
  </si>
  <si>
    <t>23,28/87,78</t>
  </si>
  <si>
    <t>195/3031</t>
  </si>
  <si>
    <t>3,7/5,4</t>
  </si>
  <si>
    <t>289/7874</t>
  </si>
  <si>
    <t>POL AIR</t>
  </si>
  <si>
    <t>MV. ELENA / C6AU7</t>
  </si>
  <si>
    <t>TB. JOHAN JAYA 136 / YDB4517 - TK. KAPUAS JAYA 3652</t>
  </si>
  <si>
    <t>CTW 08</t>
  </si>
  <si>
    <t>KLM. TAKBIR ILLAHI / JZYB</t>
  </si>
  <si>
    <t>MT. ROSSANNE / HPPV</t>
  </si>
  <si>
    <t>MV. MAJESTY STAR /LEM3</t>
  </si>
  <si>
    <t>23,28/87.78</t>
  </si>
  <si>
    <t>189/3115</t>
  </si>
  <si>
    <t>3,7/8</t>
  </si>
  <si>
    <t>MT. KENCANA 89 / POQO</t>
  </si>
  <si>
    <t>KM. JML GLORY / PLEZ</t>
  </si>
  <si>
    <t>MV. HELSINKI EAGLE</t>
  </si>
  <si>
    <t>BLS</t>
  </si>
  <si>
    <t>LCT. CAHAYA MAULIDA / YB6579</t>
  </si>
  <si>
    <t>TB. JOHAN JAYA 133 / YDB4447 - TK. KAPUAS JAYA 3117</t>
  </si>
  <si>
    <t>252/4116</t>
  </si>
  <si>
    <t>2,8/5</t>
  </si>
  <si>
    <t>TB. TAIMEN LAUT / YDA3640 - TK. INTEGRITY 288</t>
  </si>
  <si>
    <t>29/79</t>
  </si>
  <si>
    <t>222/2927</t>
  </si>
  <si>
    <t>3,4/4,2</t>
  </si>
  <si>
    <t>MT. ANGELIA 2 / POH2</t>
  </si>
  <si>
    <t>MV. CPT DIMITRIOS S / D5VD7</t>
  </si>
  <si>
    <t>TB. MITRA ANUGRAH 28 / YDB6146 - TK. MAJU LANCAR BG 3002</t>
  </si>
  <si>
    <t>28,01/87,78</t>
  </si>
  <si>
    <t>260/3135</t>
  </si>
  <si>
    <t>3,8/5,4</t>
  </si>
  <si>
    <t>MT. EMERYN / YCSW2</t>
  </si>
  <si>
    <t>MV. LMZ FRANCISCO / 5BHR5</t>
  </si>
  <si>
    <t>170/3270</t>
  </si>
  <si>
    <t>2,6/4,5</t>
  </si>
  <si>
    <t>TB. OASIS XV / YDA3201V- LINTAS SUMATRA 57</t>
  </si>
  <si>
    <t>25,05/91,54</t>
  </si>
  <si>
    <t>233/4223</t>
  </si>
  <si>
    <t>4,1/6,1</t>
  </si>
  <si>
    <t>TB. KIETRANS 26 / YDA3028 - TK. STAR MARINE 3003</t>
  </si>
  <si>
    <t>29/91</t>
  </si>
  <si>
    <t xml:space="preserve">TB. SATRIA DARMA / YDA4599 - TK. SATRIA MAJU </t>
  </si>
  <si>
    <t>25,28/58,50</t>
  </si>
  <si>
    <t>104/1889</t>
  </si>
  <si>
    <t>3,2/3</t>
  </si>
  <si>
    <t>MV. OSLO TRADER / 3EMI4</t>
  </si>
  <si>
    <t>19,87/76,08</t>
  </si>
  <si>
    <t>122/2081</t>
  </si>
  <si>
    <t>3/4,7</t>
  </si>
  <si>
    <t>27,55/96,55</t>
  </si>
  <si>
    <t>227/5133</t>
  </si>
  <si>
    <t>3,6/6,4</t>
  </si>
  <si>
    <t>28/97</t>
  </si>
  <si>
    <t>281/3147</t>
  </si>
  <si>
    <t>MV. BANGLAR AGRAGOTI / S2AI3</t>
  </si>
  <si>
    <t>MT. PERMATA PIONEER / YDPT2</t>
  </si>
  <si>
    <t>MV. LBC ENERGY / 3FFZ2</t>
  </si>
  <si>
    <t>TB. UNITED 1621 / YDB3302 - TK. CISM 03</t>
  </si>
  <si>
    <t>157/2200</t>
  </si>
  <si>
    <t>TB. JOHAN JAYA 129 / YDB4339 - TK. KAPUAS JAYA 3113</t>
  </si>
  <si>
    <t>27,87/94,53</t>
  </si>
  <si>
    <t>222/3131</t>
  </si>
  <si>
    <t>3,1/5</t>
  </si>
  <si>
    <t>MT. KENCANA 6 / PNVC</t>
  </si>
  <si>
    <t>MT. CHEMITEC / VREB4</t>
  </si>
  <si>
    <t>MT. ENDRIKO 11 / YBEU2</t>
  </si>
  <si>
    <t xml:space="preserve"> MT. IVORY RAY / A8YK4</t>
  </si>
  <si>
    <t>TB. BSP X / YD3885 - TK. BSP XI</t>
  </si>
  <si>
    <t>19,92/60,36</t>
  </si>
  <si>
    <t>2,5/4,5</t>
  </si>
  <si>
    <t>TB. MITRA ANUGRAH / YD6838 - TK. GANDASARI 2703</t>
  </si>
  <si>
    <t>28,01/82,30</t>
  </si>
  <si>
    <t>209/2703</t>
  </si>
  <si>
    <t>3,4/4,8</t>
  </si>
  <si>
    <t>MT. ALDER EXPRESS / V7A5112</t>
  </si>
  <si>
    <t>MT. DIMAS PUTRA V / PKRV</t>
  </si>
  <si>
    <t>KLM. KARYA BAHARI / PONR</t>
  </si>
  <si>
    <t>MT. THEODORE JR / 3ELC4</t>
  </si>
  <si>
    <t>26,04/87,78</t>
  </si>
  <si>
    <t>255/3267</t>
  </si>
  <si>
    <t>3,3/4,4</t>
  </si>
  <si>
    <t>MV. MANALAGI TARA / YCYC2</t>
  </si>
  <si>
    <t>23,05/76,20</t>
  </si>
  <si>
    <t>153/2202</t>
  </si>
  <si>
    <t>21,02/62,43</t>
  </si>
  <si>
    <t>2,9/3,6</t>
  </si>
  <si>
    <t>27,70/96,62</t>
  </si>
  <si>
    <t>252/4564</t>
  </si>
  <si>
    <t>KM. BEN 10 / PMXK</t>
  </si>
  <si>
    <t>TB. BSP II / YDA4083 -TK.DIAMOND RAYA</t>
  </si>
  <si>
    <t>22/67</t>
  </si>
  <si>
    <t>127/1346</t>
  </si>
  <si>
    <t>26/91,50</t>
  </si>
  <si>
    <t>267/4186</t>
  </si>
  <si>
    <t>3,6/5,4</t>
  </si>
  <si>
    <t>KM. ANUGRAH SAMUDRA I / YFXA</t>
  </si>
  <si>
    <t>TB. PUTRA ABADI 77 / YDB4955 - TK. UOV 02</t>
  </si>
  <si>
    <t>79/1655</t>
  </si>
  <si>
    <t>3,5/1,5</t>
  </si>
  <si>
    <t>MV. EASTERN EDELWEISS / VRUF2</t>
  </si>
  <si>
    <t>TB. PASIFIC ONE / YD3713 - TK. PASIFIC 3001</t>
  </si>
  <si>
    <t>30/91</t>
  </si>
  <si>
    <t>259/3044</t>
  </si>
  <si>
    <t>3,5/3,2</t>
  </si>
  <si>
    <t>TB. MILLA MULIA / YDA3104 - TK. NAUTIKA 22</t>
  </si>
  <si>
    <t>254/3141</t>
  </si>
  <si>
    <t>3,8/0,7</t>
  </si>
  <si>
    <t>MV. POPI S / D5AR4</t>
  </si>
  <si>
    <t>TB. BILITON 168 / YD4724 - TK. SUMEDANG III</t>
  </si>
  <si>
    <t>21/70</t>
  </si>
  <si>
    <t>123/1618</t>
  </si>
  <si>
    <t>2,1/0,8</t>
  </si>
  <si>
    <t>KM. KY 02 / PNWD</t>
  </si>
  <si>
    <t>MT.GOLDEN VEGA/3FRP8</t>
  </si>
  <si>
    <t>MV.FALCON CONFIDENCE/D5AP3</t>
  </si>
  <si>
    <t>MT.NORDLION/5BBE4</t>
  </si>
  <si>
    <t>27/106</t>
  </si>
  <si>
    <t>232/5226</t>
  </si>
  <si>
    <t>TB. OPTIMUS 721 / YDB6452 - TK. LUMINOR 7</t>
  </si>
  <si>
    <t>193/2384</t>
  </si>
  <si>
    <t>TB. BSP XII / YDB4936 - TK. GOOD YEAR III</t>
  </si>
  <si>
    <t xml:space="preserve">SPOB. BAHTERA KAPUAS / PKHV </t>
  </si>
  <si>
    <t>TB. BAHARI REJEKI 1 / YDA6747 - TK. CONTINENTAL 5</t>
  </si>
  <si>
    <t>34/100</t>
  </si>
  <si>
    <t>101/646</t>
  </si>
  <si>
    <t>2,8/3,2</t>
  </si>
  <si>
    <t>MV. TRANG AN 06 / JVCU6</t>
  </si>
  <si>
    <t>255/3746</t>
  </si>
  <si>
    <t>MT. PEARL ORCHID / YCA12</t>
  </si>
  <si>
    <t>TB. JOHAN JAYA 158 / YDB3251 - TK. KAPUAS JAYA 3003</t>
  </si>
  <si>
    <t>29,20/87,78</t>
  </si>
  <si>
    <t>218/3418</t>
  </si>
  <si>
    <t>MV. WAKAYOSHI / YDGE2</t>
  </si>
  <si>
    <t>TB.RELIANCE 1/YD3530 - TK. SAMUDRA BINTAN 90</t>
  </si>
  <si>
    <t>21,60/67,30</t>
  </si>
  <si>
    <t>100/1423</t>
  </si>
  <si>
    <t>3/0,8</t>
  </si>
  <si>
    <t>MT. ZALEHA / YBZM2</t>
  </si>
  <si>
    <t>MV. POSIDANA / LAJQ8</t>
  </si>
  <si>
    <t>KL</t>
  </si>
  <si>
    <t>3,7/6,9</t>
  </si>
  <si>
    <t>KM. ASIA RAYA / YGMW</t>
  </si>
  <si>
    <t>TB. MARINE PERKASA 8 / - TK. OCEAN PERKASA 8</t>
  </si>
  <si>
    <t>190/3122</t>
  </si>
  <si>
    <t>3,6/8,3</t>
  </si>
  <si>
    <t>MV.DIANE / C6ZG8</t>
  </si>
  <si>
    <t>TB.KALINDO VI / YDA4730 - TK.NELLY 34</t>
  </si>
  <si>
    <t>22/76</t>
  </si>
  <si>
    <t>100/2047</t>
  </si>
  <si>
    <t>27.12/96,56</t>
  </si>
  <si>
    <t>MT.GRACE HARMONY / YBNP2</t>
  </si>
  <si>
    <t>4.3</t>
  </si>
  <si>
    <t>TB.MDM BARABAI / YDKG  - TK.MDM 10</t>
  </si>
  <si>
    <t>28.12/115,12</t>
  </si>
  <si>
    <t>300/8051</t>
  </si>
  <si>
    <t>4,6/8,6</t>
  </si>
  <si>
    <t>TB.LL LOTUS / YDB4281 - TK.SUMBER KITA II</t>
  </si>
  <si>
    <t>20,65/73,15</t>
  </si>
  <si>
    <t>109/2005</t>
  </si>
  <si>
    <t>2,6/3,5</t>
  </si>
  <si>
    <t>66.58</t>
  </si>
  <si>
    <t>TB.BOMAS GEMILANG / YD4398 - TK.PULAU TIGA 3006</t>
  </si>
  <si>
    <t>26/87,8</t>
  </si>
  <si>
    <t>146/3310</t>
  </si>
  <si>
    <t>3/4,75</t>
  </si>
  <si>
    <t>MT.LG ASPHALT I / 9MQE6</t>
  </si>
  <si>
    <t>MV.MUTSU / 3EGA4</t>
  </si>
  <si>
    <t>MT.REBEKAH / PMCW</t>
  </si>
  <si>
    <t>WB NAGASAKI/YHPJ</t>
  </si>
  <si>
    <t>2.9</t>
  </si>
  <si>
    <t>TB.TITAN 470 / YDA3994 - TK.TITAN 480</t>
  </si>
  <si>
    <t>25/87,78</t>
  </si>
  <si>
    <t>195/3115</t>
  </si>
  <si>
    <t>TB.ALBATROSS I / YD5226 - OB.FLAMINGO 8</t>
  </si>
  <si>
    <t>24.05/67.98</t>
  </si>
  <si>
    <t>172/1729</t>
  </si>
  <si>
    <t>4.2/4.2</t>
  </si>
  <si>
    <t>TB.DHARMA 102 / YDB6978 - TK.LANCAR VIII</t>
  </si>
  <si>
    <t>180/4100</t>
  </si>
  <si>
    <t>TB.ASD RELIANCE/YBWU2</t>
  </si>
  <si>
    <t>29.5</t>
  </si>
  <si>
    <t>HTS</t>
  </si>
  <si>
    <t>TB.KARYA INDAH/YDA3347 - TK.IKA 251</t>
  </si>
  <si>
    <t>22.03/73.15</t>
  </si>
  <si>
    <t>146/2240</t>
  </si>
  <si>
    <t>2.6/4.1</t>
  </si>
  <si>
    <t>MV.CLEANTEC/VRFT6</t>
  </si>
  <si>
    <t>179.49</t>
  </si>
  <si>
    <t>6.4</t>
  </si>
  <si>
    <t>4.6</t>
  </si>
  <si>
    <t>MT.SANDRO/3EQ37</t>
  </si>
  <si>
    <t>5.3</t>
  </si>
  <si>
    <t>73.81</t>
  </si>
  <si>
    <t>KM. VIDI 01/PNRV</t>
  </si>
  <si>
    <t>27/87.84</t>
  </si>
  <si>
    <t xml:space="preserve">200/3177 </t>
  </si>
  <si>
    <t>2.10/4</t>
  </si>
  <si>
    <t xml:space="preserve"> 3.3/5.3</t>
  </si>
  <si>
    <t>185/2723</t>
  </si>
  <si>
    <t>26/97.25</t>
  </si>
  <si>
    <t>TB.MITRA BAHARI IX/YD3515 - TKMITRA X</t>
  </si>
  <si>
    <t>KM.BAHARI II/YEZB</t>
  </si>
  <si>
    <t>TB.CAMAR 8 / YD3531 - TK.CAMAR LAUT 3302</t>
  </si>
  <si>
    <t>27.12/96.56</t>
  </si>
  <si>
    <t>4.10/5.49</t>
  </si>
  <si>
    <t>MV.MAERSK VICTORIA/9V8105</t>
  </si>
  <si>
    <t>175.49</t>
  </si>
  <si>
    <t>9.5</t>
  </si>
  <si>
    <t>MT.ELENDRA SPRUCE/V7JM5</t>
  </si>
  <si>
    <t>27/96.27</t>
  </si>
  <si>
    <t>216/4169</t>
  </si>
  <si>
    <t>TB.SWI TB X / YDB3187 - TK.SWI LAMPUNG X</t>
  </si>
  <si>
    <t>25/64.38</t>
  </si>
  <si>
    <t>185/1708</t>
  </si>
  <si>
    <t>3.66/3.65</t>
  </si>
  <si>
    <t>TB.DHARMA 106/YDB3312-TK.LANCAR 3306</t>
  </si>
  <si>
    <t>27/100.58</t>
  </si>
  <si>
    <t>207/4344</t>
  </si>
  <si>
    <t>MT.MAERSK TAMPA/OYFJ2</t>
  </si>
  <si>
    <t>5.6</t>
  </si>
  <si>
    <t>5.7</t>
  </si>
  <si>
    <t>26/79</t>
  </si>
  <si>
    <t>238/2927</t>
  </si>
  <si>
    <t>TB.MITRA SAMUDERA 28/YDB6327 - TK.MITRA 01</t>
  </si>
  <si>
    <t>MV.YI HUI ZHI HAI/VRK05</t>
  </si>
  <si>
    <t>MT.TRISTEN/3E3990</t>
  </si>
  <si>
    <t>113.09</t>
  </si>
  <si>
    <t>USAV HARPERS FERRY/ADMT</t>
  </si>
  <si>
    <t>MILLITARY</t>
  </si>
  <si>
    <t>TB.DUTA KAPUAS 13/YDB4016-TK.KAPUAS 275</t>
  </si>
  <si>
    <t>23/79</t>
  </si>
  <si>
    <t>208/2200</t>
  </si>
  <si>
    <t>3.2/3.5</t>
  </si>
  <si>
    <t>24.34/87.78</t>
  </si>
  <si>
    <t>191/3129</t>
  </si>
  <si>
    <t>3.8/4.3</t>
  </si>
  <si>
    <t>MV.MINI LHOKNGA/YDHP2</t>
  </si>
  <si>
    <t>TB.HARAPAN BERSAMA 8</t>
  </si>
  <si>
    <t>TB.YANG VITI VI/YDA4815-TK.TOTO V</t>
  </si>
  <si>
    <t>21.96/67.30</t>
  </si>
  <si>
    <t>151/1417</t>
  </si>
  <si>
    <t>3.20/4.27</t>
  </si>
  <si>
    <t>BLA</t>
  </si>
  <si>
    <t>MT.IDI / V7A57</t>
  </si>
  <si>
    <t>8.4</t>
  </si>
  <si>
    <t>MT.MAERSK BRIGIT/9V3565</t>
  </si>
  <si>
    <t>175.5</t>
  </si>
  <si>
    <t>8.6</t>
  </si>
  <si>
    <t>MV.GLOBAL BONANZA / 3EZB</t>
  </si>
  <si>
    <t>7.5</t>
  </si>
  <si>
    <t>TB.DUTA KAPUAS 23/ TK.KAPUAS 273</t>
  </si>
  <si>
    <t>25/78</t>
  </si>
  <si>
    <t>188/2816</t>
  </si>
  <si>
    <t>TB.SINDO PERKASA 19/YDC3431-TK.SAMUDRA SINDO 66</t>
  </si>
  <si>
    <t>3.4/4</t>
  </si>
  <si>
    <t>23.5/69</t>
  </si>
  <si>
    <t>144/1450</t>
  </si>
  <si>
    <t>2.3/2.9</t>
  </si>
  <si>
    <t>MT.HUA WEI 8/3E2612</t>
  </si>
  <si>
    <t>8.0</t>
  </si>
  <si>
    <t>26.31/79.01</t>
  </si>
  <si>
    <t>255/2848</t>
  </si>
  <si>
    <t>MV.MINO III / 3ELX4</t>
  </si>
  <si>
    <t>MV.OLIVIA/9HA3185</t>
  </si>
  <si>
    <t>10.3</t>
  </si>
  <si>
    <t>OBM</t>
  </si>
  <si>
    <t>MT.NAUTICA PONTIAN 2 / 9M2512</t>
  </si>
  <si>
    <t>PB BELINI VII / YDA4703</t>
  </si>
  <si>
    <t>15/84</t>
  </si>
  <si>
    <t>358/2073</t>
  </si>
  <si>
    <t>0.34/1.3</t>
  </si>
  <si>
    <t>SBI</t>
  </si>
  <si>
    <t>TB.ONI VIII/YD3677-TK.ILIR JAYA I</t>
  </si>
  <si>
    <t>28.35/91.5</t>
  </si>
  <si>
    <t>243/3147</t>
  </si>
  <si>
    <t>MV.TAIKLI/3EYRS</t>
  </si>
  <si>
    <t>5.8</t>
  </si>
  <si>
    <t>MT.KENCANA EXPRESS/YHSZ</t>
  </si>
  <si>
    <t>TB.OASIS XV/YDA3201-TK.LINTAS SAMUDERA 37</t>
  </si>
  <si>
    <t>22/80</t>
  </si>
  <si>
    <t>3.0/5.0</t>
  </si>
  <si>
    <t>MV.JOSEPHIN MAERSK/OWKF2</t>
  </si>
  <si>
    <t>TB.JOHAN JAYA 110/YD3456-BG.KAPUAS JAYA 313</t>
  </si>
  <si>
    <t>27.3/90.7</t>
  </si>
  <si>
    <t>216/3636</t>
  </si>
  <si>
    <t>3.2/0.80</t>
  </si>
  <si>
    <t>TB.MOMENTUM XI/YD6598-BG.MOMENTUM 3027</t>
  </si>
  <si>
    <t>29/91.44</t>
  </si>
  <si>
    <t>222/3027</t>
  </si>
  <si>
    <t>3.10/5.48</t>
  </si>
  <si>
    <t>TB.NERA 11 - TK.SARANA MARINE 12</t>
  </si>
  <si>
    <t>24.7/87.78</t>
  </si>
  <si>
    <t>253/3048</t>
  </si>
  <si>
    <t>TB.CAVALO MARINHO 02 - TK.MERTO II</t>
  </si>
  <si>
    <t>TB. SPGM 1306/YDA3393 - TK. MMSS 2506</t>
  </si>
  <si>
    <t>MV. EVOINS /V7TE8</t>
  </si>
  <si>
    <t>MV. GELBRAY EXPRESS/9V5956</t>
  </si>
  <si>
    <t>TB. MEGA POWER 15/YD5169 - BG.FINANCIA 62</t>
  </si>
  <si>
    <t>30.00/100.85</t>
  </si>
  <si>
    <t>279/4251</t>
  </si>
  <si>
    <t>4.50/6.10</t>
  </si>
  <si>
    <t>157/1259</t>
  </si>
  <si>
    <t>27/87.78</t>
  </si>
  <si>
    <t>222/3876</t>
  </si>
  <si>
    <t>3.4/4.9</t>
  </si>
  <si>
    <t>TB. JOHAN JAYA 163/YDB3304 - BG. KAPUAS JAYA 3010</t>
  </si>
  <si>
    <t>2.0/1.0</t>
  </si>
  <si>
    <t>TB.TRANS POWER 216/YDB6260-BG.GOLD TRANS 3305</t>
  </si>
  <si>
    <t>27.04/96.62</t>
  </si>
  <si>
    <t>241/4270</t>
  </si>
  <si>
    <t>3.10/5.0</t>
  </si>
  <si>
    <t>MV.MSC ANA CAMILA III/5LBP2</t>
  </si>
  <si>
    <t>206.13</t>
  </si>
  <si>
    <t>MV.DHARMA LAUTAN INTAN/YCEY2</t>
  </si>
  <si>
    <t>9.0</t>
  </si>
  <si>
    <t>MV.MEDI PALMAROLA/D5QH9</t>
  </si>
  <si>
    <t>14.6</t>
  </si>
  <si>
    <t>BPB</t>
  </si>
  <si>
    <t>TB.TOL LANDAK V/YDC4018-TK.BM II</t>
  </si>
  <si>
    <t>18/52</t>
  </si>
  <si>
    <t>88/993</t>
  </si>
  <si>
    <t>PNRJWAN</t>
  </si>
  <si>
    <t>3.2/0.8</t>
  </si>
  <si>
    <t>TB.JOHAN JAYA 160/YDB3274 - BG.KAPUAS JAYA 3007</t>
  </si>
  <si>
    <t>MT.SONGA TOPAZ/V7PS6</t>
  </si>
  <si>
    <t>MV. NINE EAGLE/3FFO</t>
  </si>
  <si>
    <t>89.6</t>
  </si>
  <si>
    <t>5.5</t>
  </si>
  <si>
    <t>MV. PAC ADHIL/VRUA2</t>
  </si>
  <si>
    <t>TB. BOJOMA 2601/TDA3990</t>
  </si>
  <si>
    <t>26/87,78</t>
  </si>
  <si>
    <t>189/3346</t>
  </si>
  <si>
    <t>5.96/3</t>
  </si>
  <si>
    <t>MT. GRAN COUVA/VREK4</t>
  </si>
  <si>
    <t>KM. PULAU SERIBU</t>
  </si>
  <si>
    <t>KM. MITRA BAHARI IX/YHOA</t>
  </si>
  <si>
    <t>25/87.78</t>
  </si>
  <si>
    <t>218/3876</t>
  </si>
  <si>
    <t>3/6.10</t>
  </si>
  <si>
    <t>MT.T SIRIUS/5LKH3</t>
  </si>
  <si>
    <t>TB. JOHAN JAYA 161/YDB3277 - BG.KAPUAS JAYA 3008</t>
  </si>
  <si>
    <t>MV. ANASTASIA K/C6ZC4</t>
  </si>
  <si>
    <t>7.2</t>
  </si>
  <si>
    <t>TB. AQUARIUS 2010/YDC3487 - TK. MEGATAN 3007</t>
  </si>
  <si>
    <t xml:space="preserve"> - </t>
  </si>
  <si>
    <t xml:space="preserve"> -</t>
  </si>
  <si>
    <t>TB. CAKRA 17/YD4910 - TB ARMADA 3003</t>
  </si>
  <si>
    <t>ACP</t>
  </si>
  <si>
    <t>MV. KITAURA/3FSN8</t>
  </si>
  <si>
    <t>8.1</t>
  </si>
  <si>
    <t>MV. TRAMONTANA/3FGI3</t>
  </si>
  <si>
    <t>TB. BUANA VICTORY/YD3802 - TK. SM PACIFIC 212</t>
  </si>
  <si>
    <t>18/54</t>
  </si>
  <si>
    <t>87/897</t>
  </si>
  <si>
    <t>2.8/3,0</t>
  </si>
  <si>
    <t>MV. MOANA INFINITY/V7A5416</t>
  </si>
  <si>
    <t>MT. NURHASANAH LIMA/POAN</t>
  </si>
  <si>
    <t>MV. IVS THANDA/9V2740</t>
  </si>
  <si>
    <t>8.7</t>
  </si>
  <si>
    <t>MV. DENITA WAVE/5BHB3</t>
  </si>
  <si>
    <t>14.5</t>
  </si>
  <si>
    <t>20/67</t>
  </si>
  <si>
    <t>93/1449</t>
  </si>
  <si>
    <t>2.1/1</t>
  </si>
  <si>
    <t>TB. MAXIMUS 809/YDB4503 - TK. AS GLORY 6</t>
  </si>
  <si>
    <t>26/91.44</t>
  </si>
  <si>
    <t>190/3832</t>
  </si>
  <si>
    <t>3.65/5</t>
  </si>
  <si>
    <t>TB. MAX 03 - TK. MAX 9003</t>
  </si>
  <si>
    <t>TB. BLUE DRAGON 28 YDA6977 - TK. SEA PRAGON 3028</t>
  </si>
  <si>
    <t>28/9.44</t>
  </si>
  <si>
    <t>208/3039</t>
  </si>
  <si>
    <t>2.8/3</t>
  </si>
  <si>
    <t>MV.MSC RINI III/5LBUB</t>
  </si>
  <si>
    <t>MT. ARIN 8/JZAR</t>
  </si>
  <si>
    <t>MT. GREAT KAPPA/V7A2436</t>
  </si>
  <si>
    <t>MV. DEWI AMBARWATI/YCNB2</t>
  </si>
  <si>
    <t>10.9</t>
  </si>
  <si>
    <t>MV. SURPLUS/PLAC</t>
  </si>
  <si>
    <t>MV. NARUTO/3FRJ9</t>
  </si>
  <si>
    <t>5.1</t>
  </si>
  <si>
    <t>TB. TITAN 35/YDA3922 - TK. TITAN 36</t>
  </si>
  <si>
    <t>BRUNSWICK/NBWD</t>
  </si>
  <si>
    <t>MILITER</t>
  </si>
  <si>
    <t>MV.JUNTOKU/POAW</t>
  </si>
  <si>
    <t>MT.STENA PROMISE/5BRV5</t>
  </si>
  <si>
    <t>MV.MALAHAYATI BARUNA/YCSJ2</t>
  </si>
  <si>
    <t>SPOB.BUANA GLORY I/PLGE</t>
  </si>
  <si>
    <t>TIS</t>
  </si>
  <si>
    <t>2.9/3.8</t>
  </si>
  <si>
    <t>MV. DELPHINE/YB5213</t>
  </si>
  <si>
    <t>MV. LOMOSO RAYA/YCJH</t>
  </si>
  <si>
    <t>12.5</t>
  </si>
  <si>
    <t>MV. DK 02/YBKH2</t>
  </si>
  <si>
    <t>TB. YAPEN II /YD6422 - TK. LEGASI 261</t>
  </si>
  <si>
    <t>MV. SINOP/9HA3115</t>
  </si>
  <si>
    <t>11.2</t>
  </si>
  <si>
    <t>TB.SATRIA MULYA/YDA4942 - TK. ARTA PRIMA</t>
  </si>
  <si>
    <t>20/52</t>
  </si>
  <si>
    <t>109/889</t>
  </si>
  <si>
    <t>MV. ISA EXPRESS/YGCE</t>
  </si>
  <si>
    <t>TB. BINA MARINE 51/YD3823 - TK. NAUTICA 20</t>
  </si>
  <si>
    <t>268/3279</t>
  </si>
  <si>
    <t>3.2/6.2</t>
  </si>
  <si>
    <t>9.9</t>
  </si>
  <si>
    <t>5.9</t>
  </si>
  <si>
    <t>MV.MARTHA BARUNA/YDXB2</t>
  </si>
  <si>
    <t>MT. JAVA PALM/JZAE</t>
  </si>
  <si>
    <t>4.9</t>
  </si>
  <si>
    <t>6.6</t>
  </si>
  <si>
    <t>TB. PANCARAN III 615 / YDA3780 - TK. PMT IV 110</t>
  </si>
  <si>
    <t>142/2287</t>
  </si>
  <si>
    <t>MV. MSC DAVAO III/3EBK6</t>
  </si>
  <si>
    <t>10.1</t>
  </si>
  <si>
    <t>KM. SEGARA IBU/JZVZ</t>
  </si>
  <si>
    <t>TB.AVERY/YDB4335 - TK. NAOM</t>
  </si>
  <si>
    <t>26/87</t>
  </si>
  <si>
    <t>192/3145</t>
  </si>
  <si>
    <t>3.2/6</t>
  </si>
  <si>
    <t>KM. ROKAN PERMAI/YEZY</t>
  </si>
  <si>
    <t>3.1</t>
  </si>
  <si>
    <t>ABM</t>
  </si>
  <si>
    <t>TB. GLOBAL MANDIRI XI/YDB4150</t>
  </si>
  <si>
    <t>21/67</t>
  </si>
  <si>
    <t>150/1841</t>
  </si>
  <si>
    <t>2.0/3.6</t>
  </si>
  <si>
    <t>MV. MEDELIN FIRST/PNYQ</t>
  </si>
  <si>
    <t>MT. COSMIC 20/YBXN2</t>
  </si>
  <si>
    <t>TB. STA-1/POTE - TK. CITRA 3601</t>
  </si>
  <si>
    <t>32/121</t>
  </si>
  <si>
    <t>314/7354</t>
  </si>
  <si>
    <t>3.1/1.5</t>
  </si>
  <si>
    <t>TB. TRANS POWER 218/YD5210 - TK. GOLD TRANS 321</t>
  </si>
  <si>
    <t>27.6/87.84</t>
  </si>
  <si>
    <t>220/3138</t>
  </si>
  <si>
    <t>3.6/0.6</t>
  </si>
  <si>
    <t>TB. TRANS ENERGY 2909/YDA4718 - TK. OMBILIN 3001</t>
  </si>
  <si>
    <t>3.2/4.6</t>
  </si>
  <si>
    <t>MT. G STAR / D8RE</t>
  </si>
  <si>
    <t>MV. MANDIRI 18/PMIQ</t>
  </si>
  <si>
    <t>MT. SUNNY QUEEN/3FUM8</t>
  </si>
  <si>
    <t>6.5</t>
  </si>
  <si>
    <t>TB. CITEUREP 1/YDA4908 - TK, KARUNIA SAMUDERA 1</t>
  </si>
  <si>
    <t>30/87.7</t>
  </si>
  <si>
    <t>260/3619</t>
  </si>
  <si>
    <t>3.0/0.75</t>
  </si>
  <si>
    <t>MV. MSC EXPRESS III/A8LG7</t>
  </si>
  <si>
    <t>9.1</t>
  </si>
  <si>
    <t>TB. MARTHA GLORY/YD2091 - KT. CENDANA INDAH</t>
  </si>
  <si>
    <t>24,24/87,79</t>
  </si>
  <si>
    <t>188/3188</t>
  </si>
  <si>
    <t>LCT. DIPASENA DUA/YEZC</t>
  </si>
  <si>
    <t>2.4</t>
  </si>
  <si>
    <t>MT. MATIS/9V5433</t>
  </si>
  <si>
    <t>MV. AQUAVITA SKY/DUKF</t>
  </si>
  <si>
    <t>9.2</t>
  </si>
  <si>
    <t>20/76.08</t>
  </si>
  <si>
    <t>116/216</t>
  </si>
  <si>
    <t>MT.ERAWAN 12/YBJM2</t>
  </si>
  <si>
    <t>LCT SAMUDERA RAHAYU I/YCTI2</t>
  </si>
  <si>
    <t>2.3</t>
  </si>
  <si>
    <t>ABN</t>
  </si>
  <si>
    <t>TB. SATRIA LAKSANA 248/YDA3050 - TK. MELINDA 2</t>
  </si>
  <si>
    <t>24/91.73</t>
  </si>
  <si>
    <t>190/3130</t>
  </si>
  <si>
    <t>3.9/0.8</t>
  </si>
  <si>
    <t>TB. MITRA 221/YDB3175 - TK. SEJAHTERA 3032</t>
  </si>
  <si>
    <t>TB. SEBESI/YDB4489 - TK. SEBUKU</t>
  </si>
  <si>
    <t>24.97/87.78</t>
  </si>
  <si>
    <t>207/3103</t>
  </si>
  <si>
    <t>2.5/0.2</t>
  </si>
  <si>
    <t>MV. OCEAN TIME/VRSK3</t>
  </si>
  <si>
    <t>MV. QING PING SHAN/VROK6</t>
  </si>
  <si>
    <t>TB. JOHAN JAYA 112/YD3548 - TK. KAPUAS JAYA 331</t>
  </si>
  <si>
    <t>27.36/96.27</t>
  </si>
  <si>
    <t>MV. ASIAN ACE / D5VS5</t>
  </si>
  <si>
    <t>MSC</t>
  </si>
  <si>
    <t>MV. MAERSK NUSANTARA/9V7931</t>
  </si>
  <si>
    <t>DISNAVTPK</t>
  </si>
  <si>
    <t>TB. MOMENTUM 06/YDA3373 - TK MOMENTUM 3006</t>
  </si>
  <si>
    <t>189/3129</t>
  </si>
  <si>
    <t>3,5/4,6</t>
  </si>
  <si>
    <t>TB. DELTA CAHAYA 8 / YD6956 - TK PULAU TIGA 3016</t>
  </si>
  <si>
    <t>28.52/91.44</t>
  </si>
  <si>
    <t>207/993</t>
  </si>
  <si>
    <t>3.0/4.0</t>
  </si>
  <si>
    <t>4.8</t>
  </si>
  <si>
    <t xml:space="preserve">  -</t>
  </si>
  <si>
    <t>10.6</t>
  </si>
  <si>
    <t>28.5/91.5</t>
  </si>
  <si>
    <t>209/3001</t>
  </si>
  <si>
    <t>2.8/3.8</t>
  </si>
  <si>
    <t>22.09/52.67</t>
  </si>
  <si>
    <t>155/1311</t>
  </si>
  <si>
    <t>2.5/4.2</t>
  </si>
  <si>
    <t>29/87</t>
  </si>
  <si>
    <t>2.8/4.6</t>
  </si>
  <si>
    <t>TB. TANJUNG BAHARI 20 / YDA4792 - TK. BAHARI 2701</t>
  </si>
  <si>
    <t>TB. TANJUNG BAHARI 18 / YDA4731 - TK. BAHARI 3008</t>
  </si>
  <si>
    <t>26/87.78</t>
  </si>
  <si>
    <t>211/3186</t>
  </si>
  <si>
    <t>190/3201</t>
  </si>
  <si>
    <t>3.5/0.8</t>
  </si>
  <si>
    <t>26/77</t>
  </si>
  <si>
    <t>198/2284</t>
  </si>
  <si>
    <t>3.3/4.5</t>
  </si>
  <si>
    <t>27/ 80</t>
  </si>
  <si>
    <t>221/3115</t>
  </si>
  <si>
    <t>29.88/73.15</t>
  </si>
  <si>
    <t>339/1870</t>
  </si>
  <si>
    <t>3.8/4.76</t>
  </si>
  <si>
    <t>29/87.6</t>
  </si>
  <si>
    <t>357/3089</t>
  </si>
  <si>
    <t>4/5.4</t>
  </si>
  <si>
    <t>29.86</t>
  </si>
  <si>
    <t>KLM. PUTRA BHG INDAH/YC5909</t>
  </si>
  <si>
    <t>TB. YANG VITTI XII/YD6805 - TK. TOTO XII</t>
  </si>
  <si>
    <t>35/110</t>
  </si>
  <si>
    <t>207/5133</t>
  </si>
  <si>
    <t>2.5/3.5</t>
  </si>
  <si>
    <t>SPOB.ARHGA 02/YCQL2</t>
  </si>
  <si>
    <t>4/6.1</t>
  </si>
  <si>
    <t>TB. LL HELPRIT/YDC4388 - TK.LL 2517</t>
  </si>
  <si>
    <t>MT.HANYU GLORY/YDSB2</t>
  </si>
  <si>
    <t>27.4/73.15</t>
  </si>
  <si>
    <t>135/1961</t>
  </si>
  <si>
    <t>2.8/2.4</t>
  </si>
  <si>
    <t>0.8</t>
  </si>
  <si>
    <t>3.4</t>
  </si>
  <si>
    <t>KLM.SYAMRAH / YC4508</t>
  </si>
  <si>
    <t>2.8</t>
  </si>
  <si>
    <t>TB. MARINA MERCURY 2 / YDA4748 - TK. DANA BAHARI 1</t>
  </si>
  <si>
    <t>24.24/73.15</t>
  </si>
  <si>
    <t>196/2037</t>
  </si>
  <si>
    <t>3.2/-</t>
  </si>
  <si>
    <t>3.3</t>
  </si>
  <si>
    <t>MV. ASTORIA BAY / VRKB6</t>
  </si>
  <si>
    <t>TB. BSP III/YDA4847 - TK. BSP IX</t>
  </si>
  <si>
    <t>27/84</t>
  </si>
  <si>
    <t>121/1861</t>
  </si>
  <si>
    <t>CYPRUS</t>
  </si>
  <si>
    <t>DENMARK</t>
  </si>
  <si>
    <t>MALTA</t>
  </si>
  <si>
    <t>GREECE</t>
  </si>
  <si>
    <t>LUXEMBOURG</t>
  </si>
  <si>
    <t>PORTUGAL</t>
  </si>
  <si>
    <t>NORWAY</t>
  </si>
  <si>
    <t>TURKEY</t>
  </si>
  <si>
    <t>BAHAMAS</t>
  </si>
  <si>
    <t>PANAMA</t>
  </si>
  <si>
    <t>USA</t>
  </si>
  <si>
    <t>BANGLADESH</t>
  </si>
  <si>
    <t>CHINA</t>
  </si>
  <si>
    <t>KOREA</t>
  </si>
  <si>
    <t>MONGOLIA</t>
  </si>
  <si>
    <t>HONG KONG</t>
  </si>
  <si>
    <t>MALAYSIA</t>
  </si>
  <si>
    <t>MARSHALL</t>
  </si>
  <si>
    <t>PHILIPPINES</t>
  </si>
  <si>
    <t>SINGAPORE</t>
  </si>
  <si>
    <t>THAILAND</t>
  </si>
  <si>
    <t>VIETNAM</t>
  </si>
  <si>
    <t>LIBERIA</t>
  </si>
  <si>
    <t>TB. DUTA KAPUAS JAYA 20 / YDB4567 - TK. KAPUAS JAYA 31</t>
  </si>
  <si>
    <t>KMP. MUTIARA SENTOSA 2 / YBDJ2</t>
  </si>
  <si>
    <t>MV.EVGENIA K/V7A2460</t>
  </si>
  <si>
    <t>TERA LOGISTIC INDONESIA</t>
  </si>
  <si>
    <t>PPN PANURJWAN</t>
  </si>
  <si>
    <t>SAMUDERA  AGENCIES INDONESIA</t>
  </si>
  <si>
    <t>ANDROMEDA SENTRAL PASIFIK</t>
  </si>
  <si>
    <t>BAHARI LAJU ANUGRAH</t>
  </si>
  <si>
    <t>BUKIT PRIMA BAHARI</t>
  </si>
  <si>
    <t>BUMI LAUT SHIPPING</t>
  </si>
  <si>
    <t>KANAKA LINES</t>
  </si>
  <si>
    <t>LAMPUNG SHIPPING AGENCY</t>
  </si>
  <si>
    <t>MT. PETALOUDA/C6WV3</t>
  </si>
  <si>
    <t>MV. NAVIOS SUN/3EDM7</t>
  </si>
  <si>
    <t>7.7</t>
  </si>
  <si>
    <t>MT. DOLPHIN 03/3E4024</t>
  </si>
  <si>
    <t>263/3146</t>
  </si>
  <si>
    <t>3/5.</t>
  </si>
  <si>
    <t>TB. BLUEDRAGON 48/YDB6134</t>
  </si>
  <si>
    <t>MT. SLOMAN HERMES/9HA5035</t>
  </si>
  <si>
    <t>MV. LUCKY HARMONY/HOSP</t>
  </si>
  <si>
    <t>MT. SHANJAYA/YGVL</t>
  </si>
  <si>
    <t>104/1982</t>
  </si>
  <si>
    <t>MV THYME/3E4143</t>
  </si>
  <si>
    <t>MV SCHUYLER TRADER/9V6114</t>
  </si>
  <si>
    <t>TB JOHAN JAYA 159/YDB3261 - TK KAPUAS JAYA 3006</t>
  </si>
  <si>
    <t>27/91</t>
  </si>
  <si>
    <t>4/-</t>
  </si>
  <si>
    <t>24,67/87,78</t>
  </si>
  <si>
    <t>MV.XIE HAI YONG XIN/BTJ15</t>
  </si>
  <si>
    <t>KMP MUTIARA FERINDO 7/YCDH2</t>
  </si>
  <si>
    <t>27/100,5</t>
  </si>
  <si>
    <t>232/5133</t>
  </si>
  <si>
    <t>3,7/0,9</t>
  </si>
  <si>
    <t>MV. MSC ALDI III/5LDT6</t>
  </si>
  <si>
    <t>TB. WILLIAM/YB4795 - TK. TRANSINDO 3</t>
  </si>
  <si>
    <t>20,25/52,67</t>
  </si>
  <si>
    <t>81/771</t>
  </si>
  <si>
    <t>TB. TEGUH MANDIRI/YDA4825 - TK. CITRA MANDIRI 2011</t>
  </si>
  <si>
    <t>20,8/67,3</t>
  </si>
  <si>
    <t>104/1396</t>
  </si>
  <si>
    <t>MT. BITUMEN SHOURI/9V3854</t>
  </si>
  <si>
    <t>MV. THERESA GLORY/3E3810</t>
  </si>
  <si>
    <t>KM. MELLINDA/PNJO</t>
  </si>
  <si>
    <t>TB. LL TONI/YDC4030 - TK. LL 3008</t>
  </si>
  <si>
    <t>21,07/91,44</t>
  </si>
  <si>
    <t>146/974</t>
  </si>
  <si>
    <t>3.0/3,6</t>
  </si>
  <si>
    <t>MV. PAC AGENA/VRUB4</t>
  </si>
  <si>
    <t>MV. KONKAR VENTURE/V7LH6</t>
  </si>
  <si>
    <t>KM. NUSANTARA JAYA</t>
  </si>
  <si>
    <t>TB. SARIA MEGA/YDC4192 - TK. ARTHA DAMAI</t>
  </si>
  <si>
    <t>21,7/79,25</t>
  </si>
  <si>
    <t>116/2151</t>
  </si>
  <si>
    <t>3/5,4</t>
  </si>
  <si>
    <t>MV. PANCARAN 1 5505/YCX02</t>
  </si>
  <si>
    <t>129/1174</t>
  </si>
  <si>
    <t>3,2/4,8</t>
  </si>
  <si>
    <t>MT.WORLD PERFORMANCE/A8HM2</t>
  </si>
  <si>
    <t>MV. APOLLO GRACE/3FCT5</t>
  </si>
  <si>
    <t>TB. WILLIAM 2/YDB4559 - TK. ANUGRAH 8</t>
  </si>
  <si>
    <t>21,93/61</t>
  </si>
  <si>
    <t>94/1386</t>
  </si>
  <si>
    <t>MV. CHRISTOS/D5JT7</t>
  </si>
  <si>
    <t>TEL</t>
  </si>
  <si>
    <t>TB.BINTANG MUTIARA 3/YD4955 - TK.PULAU JAYA 3</t>
  </si>
  <si>
    <t>20,64/51,86</t>
  </si>
  <si>
    <t>115/920</t>
  </si>
  <si>
    <t>2,4/0,9</t>
  </si>
  <si>
    <t>MT.HORIN TRADER/DUHA</t>
  </si>
  <si>
    <t>MT.GRIYA MELAYU/YBJP2</t>
  </si>
  <si>
    <t>TB. TINJU/YDA4582</t>
  </si>
  <si>
    <t>TB.SURYA PERKASA 503/YDB4657-TK.KAHURIPAN 503</t>
  </si>
  <si>
    <t>19.8/76.08</t>
  </si>
  <si>
    <t>122/2089</t>
  </si>
  <si>
    <t>3/4.7</t>
  </si>
  <si>
    <t>MT.STI ST CHARLES/V7NZ6</t>
  </si>
  <si>
    <t>TB MAJU DAYA 27/YD3818 - TK.SINAR LESTARI 388</t>
  </si>
  <si>
    <t>28/</t>
  </si>
  <si>
    <t>3,2/4,7</t>
  </si>
  <si>
    <t>185/3555</t>
  </si>
  <si>
    <t>29/91,4</t>
  </si>
  <si>
    <t>MV.HOANG HAI ACE/3LUYH</t>
  </si>
  <si>
    <t>6.8</t>
  </si>
  <si>
    <t>TB. SURYA RATNA 10/9V7316 - TK. SURYA MAKMUR 10</t>
  </si>
  <si>
    <t>33/105</t>
  </si>
  <si>
    <t>299/4241</t>
  </si>
  <si>
    <t>3,2/1,0</t>
  </si>
  <si>
    <t>MT.GRIYA AMBON/PNFZ</t>
  </si>
  <si>
    <t>MT. KENCANA 7/YHUK</t>
  </si>
  <si>
    <t>TB. KAN XII/YD3414 - TK. SMB VIII</t>
  </si>
  <si>
    <t>21,70/6145</t>
  </si>
  <si>
    <t>160/1379</t>
  </si>
  <si>
    <t>KLM. PINISI INDAH/YC5895</t>
  </si>
  <si>
    <t>TB. MITRA 225/YDB4716 - TK. SEJAHTERA D33</t>
  </si>
  <si>
    <t>23,5/76,8</t>
  </si>
  <si>
    <t>140/2151</t>
  </si>
  <si>
    <t>MT. TORM ERIC/9V2426</t>
  </si>
  <si>
    <t>MT. PEGADEN PERTAMINA/YCJI</t>
  </si>
  <si>
    <t>MV. HANEI/POWT</t>
  </si>
  <si>
    <t>TB.ASIA TIRTA 2001/YDA6553 - TK.ASIA PERDANA 3002</t>
  </si>
  <si>
    <t>MT. ANGELIA XVI/YFDN</t>
  </si>
  <si>
    <t>TB. GOLDEN HAND/YD6798 - TK. OB SONCUAN I</t>
  </si>
  <si>
    <t>MT. JOHN CAINE/PNJA</t>
  </si>
  <si>
    <t>LCT. MEKAR UTAMA/PNMJ</t>
  </si>
  <si>
    <t>MV. GESIT/PNOL</t>
  </si>
  <si>
    <t>MV. PRITHA/POFT</t>
  </si>
  <si>
    <t>TB. EMEGASTAR 53/YD6336 - TK. FINANCIA 77</t>
  </si>
  <si>
    <t>MV.LINTAS BAHARI 20 / PMVF</t>
  </si>
  <si>
    <t>24.24/87.84</t>
  </si>
  <si>
    <t>188/3195</t>
  </si>
  <si>
    <t>TB.MAIDEN ISLAND/YD2109-BG.SENTANA CARGO</t>
  </si>
  <si>
    <t>MT. SILVER ROTTERDAM/3EWL6</t>
  </si>
  <si>
    <t>TB. SAMUDRA SINDO 9/YDC401702 - TK. SAMUDRA SINDO 66</t>
  </si>
  <si>
    <t>23,5/82,3</t>
  </si>
  <si>
    <t>142/2848</t>
  </si>
  <si>
    <t>MV.BANGPAKAEW/HSB5106</t>
  </si>
  <si>
    <t>98.5</t>
  </si>
  <si>
    <t>7.3</t>
  </si>
  <si>
    <t>2,4/4,6</t>
  </si>
  <si>
    <t>MV. LBC GREEN/9HA3218</t>
  </si>
  <si>
    <t>TB. RONI 1/YDB4536 - TK. RAY 1</t>
  </si>
  <si>
    <t>24/97</t>
  </si>
  <si>
    <t>207/3013</t>
  </si>
  <si>
    <t>MV.LONG TAN 99/3WCV9</t>
  </si>
  <si>
    <t>MV. MSC CARPATHIA III/A8HI8</t>
  </si>
  <si>
    <t>TB, BARAKUDA 03 22/  -  TK. SATRIA SUMATERA 3028</t>
  </si>
  <si>
    <t>20,26/91,46</t>
  </si>
  <si>
    <t>207/3254</t>
  </si>
  <si>
    <t>2,7/4,6</t>
  </si>
  <si>
    <t>MV.IVS PEBLE BEACH/DYFQ</t>
  </si>
  <si>
    <t>TB.ASIA TIRTA 2401/YDB6269 - TK.ASIA PERDANA 3003</t>
  </si>
  <si>
    <t>250/3083</t>
  </si>
  <si>
    <t>3,1/0,75</t>
  </si>
  <si>
    <t>MT.NORD VICTORIUS/V7A4311</t>
  </si>
  <si>
    <t>MV.SEA PRAJNA/9V7428</t>
  </si>
  <si>
    <t>TB.KENZO/YDA4774-TK.PROVIT 3183</t>
  </si>
  <si>
    <t>254/4408</t>
  </si>
  <si>
    <t>4.1/0.8</t>
  </si>
  <si>
    <t>TB BOJOMA 2903/YDB3012 - TK. FLYPOWER 3003</t>
  </si>
  <si>
    <t>258/3346</t>
  </si>
  <si>
    <t>3,5/5,5</t>
  </si>
  <si>
    <t>MV.MEUTIA BARUNA/YDYJ2</t>
  </si>
  <si>
    <t>TB.MARINA 2207/YDA3887-TK.MARINA POWER 3068</t>
  </si>
  <si>
    <t>29/88</t>
  </si>
  <si>
    <t>232/3213</t>
  </si>
  <si>
    <t>3.0/4.6</t>
  </si>
  <si>
    <t>TB. BUANA CHAMPION/YD3812 - TK. BUANA OCEAN</t>
  </si>
  <si>
    <t>23/73</t>
  </si>
  <si>
    <t>145/1845</t>
  </si>
  <si>
    <t>3,2/4,4</t>
  </si>
  <si>
    <t xml:space="preserve">RAN </t>
  </si>
  <si>
    <t>TB. BARUNA 3/YDB4020 - TK. BPL 3</t>
  </si>
  <si>
    <t>24/88,88</t>
  </si>
  <si>
    <t>217/3107</t>
  </si>
  <si>
    <t>3/0,80</t>
  </si>
  <si>
    <t>TB.SPGM 03/YDA3221-TK.MMSS 2503</t>
  </si>
  <si>
    <t>22.09/73.15</t>
  </si>
  <si>
    <t>137/2013</t>
  </si>
  <si>
    <t>SPOB JULVINDA/PLKJ</t>
  </si>
  <si>
    <t>MV.WECO ESTHER/5LHR5</t>
  </si>
  <si>
    <t>199.9</t>
  </si>
  <si>
    <t>11.4</t>
  </si>
  <si>
    <t>SPOB R. JOHAN III/YB5334</t>
  </si>
  <si>
    <t>MT.GANDAWATI I / YBVH2</t>
  </si>
  <si>
    <t>TB. YANG VITI XII / YD6805 - TK. TOTO XII</t>
  </si>
  <si>
    <t>MV AOM SOPHIE II/H9CH</t>
  </si>
  <si>
    <t>MV. NAVIOS POLLUX/3FPO2</t>
  </si>
  <si>
    <t>TB, MARINA 22/YD3691 - TK. CITRA 3317</t>
  </si>
  <si>
    <t>27,36/96,56</t>
  </si>
  <si>
    <t>3/6,4</t>
  </si>
  <si>
    <t>222/6206</t>
  </si>
  <si>
    <t xml:space="preserve">MV QUANG MINH 9/3WRR </t>
  </si>
  <si>
    <t>MV. BRIGHT CORAL/3FQU</t>
  </si>
  <si>
    <t>TB PANCARAN III-815/YDA3866 - TK PMT III-815</t>
  </si>
  <si>
    <t>142/1675</t>
  </si>
  <si>
    <t>207/3117</t>
  </si>
  <si>
    <t>TB.ALPINE MARINE 20/YD3672-TK.BINA MARINE 26</t>
  </si>
  <si>
    <t>28.8/87.78</t>
  </si>
  <si>
    <t>261/3267</t>
  </si>
  <si>
    <t>3.2/4.3</t>
  </si>
  <si>
    <t>MT. SAMBONG ARTEMIS/D75T</t>
  </si>
  <si>
    <t>MV. WORSHIP LIGHT/3FFE7</t>
  </si>
  <si>
    <t>MT. ARGHA 9/YCXX2</t>
  </si>
  <si>
    <t>MV. PHUC THUAN 69/3WHB</t>
  </si>
  <si>
    <t>26.4/105.11</t>
  </si>
  <si>
    <t>249/4408</t>
  </si>
  <si>
    <t>3.2/5.3</t>
  </si>
  <si>
    <t>TB.BOMAS MAKMUR/YDA4415-TK.PULAU TIGA 3456</t>
  </si>
  <si>
    <t>MT. WOOJIN FRANK/DSRN8</t>
  </si>
  <si>
    <t>TB. NELLY 35 YDA4383 - TK. NELLY ANUGRAH 2</t>
  </si>
  <si>
    <t>24,98/96,56</t>
  </si>
  <si>
    <t>183/4467</t>
  </si>
  <si>
    <t xml:space="preserve">MT. SINAR MASELA/YCQP2 </t>
  </si>
  <si>
    <t xml:space="preserve">MV. ANUGRAH BUANA VIII/PNVZ </t>
  </si>
  <si>
    <t>TB. MEDELIN SPIRIT/YD2096 - TK. SANTANA JAYA</t>
  </si>
  <si>
    <t>TB. DHARMA  8/YDB6028 - TK. LANCAR III</t>
  </si>
  <si>
    <t>210/3432</t>
  </si>
  <si>
    <t>MV.MSC COLETTE III/5LES9</t>
  </si>
  <si>
    <t>MV.SCORPIOS ISLAND/3E2693</t>
  </si>
  <si>
    <t>26.04/100.9</t>
  </si>
  <si>
    <t>TB.BOMAS SATRIA/YDA4325-TK.WINDBUILT 345</t>
  </si>
  <si>
    <t>MV MUROU /3EZU5</t>
  </si>
  <si>
    <t>TB.PRIMA 5/YDA4300-TK.MARITIME 5</t>
  </si>
  <si>
    <t>224/3100</t>
  </si>
  <si>
    <t>3.2/4.7</t>
  </si>
  <si>
    <t>MV. ROYAL PEACE/YCYJ2</t>
  </si>
  <si>
    <t>KM. DAYA BAHARI JAYA/YC4527</t>
  </si>
  <si>
    <t>TB.OCEAN TAIDER15/YD6618-TK.TAN 10</t>
  </si>
  <si>
    <t>28/91,54</t>
  </si>
  <si>
    <t>209/3121</t>
  </si>
  <si>
    <t>KLM. SELAT KARIMATA UTAMA / YDAY2</t>
  </si>
  <si>
    <t>MV. INTAN BARUNA / JZMO</t>
  </si>
  <si>
    <t>28/96</t>
  </si>
  <si>
    <t>186/3019</t>
  </si>
  <si>
    <t>3.0/4.5</t>
  </si>
  <si>
    <t>TB.FORTUNA SAMUDRA/YDB6171-TK.PHS 1812</t>
  </si>
  <si>
    <t>MT. SONGA POLARIS/YDCH2</t>
  </si>
  <si>
    <t>MT. GOLD TRADER 1/3E2129</t>
  </si>
  <si>
    <t>MT.BLAAMANEN/LAOP8</t>
  </si>
  <si>
    <t>MV. BBG SINGPORE/5LAX5</t>
  </si>
  <si>
    <t>TB.KD 2018/YDB6751-TK.M 801302</t>
  </si>
  <si>
    <t>27.42/98.8</t>
  </si>
  <si>
    <t>261/3410</t>
  </si>
  <si>
    <t>TB.NERA 08/YDA6784-TK.MARINE POWER 3008</t>
  </si>
  <si>
    <t>31.00/91.44</t>
  </si>
  <si>
    <t>245/3064</t>
  </si>
  <si>
    <t>3.4/4.5</t>
  </si>
  <si>
    <t>MV. ANASTASIA/3EZX</t>
  </si>
  <si>
    <t>TB. KIJANG MAS LIMA/YDA4428 - TK. BUMI PALMA LIMA</t>
  </si>
  <si>
    <t>TB. DUTA KAPUAS 11 / YDA4747 - TK. KAPUAS 315</t>
  </si>
  <si>
    <t>27,05/90,72</t>
  </si>
  <si>
    <t>3/0,7</t>
  </si>
  <si>
    <t>MT. YM SANTURN/9HFW9</t>
  </si>
  <si>
    <t>MV INTAN DAYA 32/JZJL</t>
  </si>
  <si>
    <t>MV.MSC CORINNA/3FWI6</t>
  </si>
  <si>
    <t>MV.GOLDEN SHUI/V7RQ5</t>
  </si>
  <si>
    <t>TB.GONAYA X/YDB6145 - TK TRIYA LAUT 3038</t>
  </si>
  <si>
    <t>24,75/87,78</t>
  </si>
  <si>
    <t>188/3048</t>
  </si>
  <si>
    <t>3,85/5,49</t>
  </si>
  <si>
    <t>TB BINTANG MITRA/YDA4594 - TK. SKU II</t>
  </si>
  <si>
    <t>87/1841</t>
  </si>
  <si>
    <t>PNJWN</t>
  </si>
  <si>
    <t>TB.MITRA JAYA IV/YDB4900-TK.SAHABAT KAPUAS V</t>
  </si>
  <si>
    <t>24/58</t>
  </si>
  <si>
    <t>62/925</t>
  </si>
  <si>
    <t>2.4/3.8</t>
  </si>
  <si>
    <t>30/87,84</t>
  </si>
  <si>
    <t>234/3143</t>
  </si>
  <si>
    <t>3,0/0,7</t>
  </si>
  <si>
    <t>182/3115</t>
  </si>
  <si>
    <t>TB.BINA MARINE 25/YD3659-BG.TITAN 44</t>
  </si>
  <si>
    <t>MV.TAOKAS WISDOM/3EQV2</t>
  </si>
  <si>
    <t xml:space="preserve">MV NASHALINA/YCJL2 </t>
  </si>
  <si>
    <t>TB. TRANS POWER 218/YD5219 - TK. GOLD TRANS 3202</t>
  </si>
  <si>
    <t>27/99</t>
  </si>
  <si>
    <t>283/4720</t>
  </si>
  <si>
    <t>3,2/0,9</t>
  </si>
  <si>
    <t>MV. MAGIC RAINBOW/V7A4214</t>
  </si>
  <si>
    <t>MV.A1/YBIX2</t>
  </si>
  <si>
    <t>83.54</t>
  </si>
  <si>
    <t>MT. SULFLYTE/3E4003</t>
  </si>
  <si>
    <t>TB.PATRIA 6/YD3933-TK.AURA</t>
  </si>
  <si>
    <t>26.9/86</t>
  </si>
  <si>
    <t>156/3107</t>
  </si>
  <si>
    <t>3.2/0.95</t>
  </si>
  <si>
    <t>17,8/61,46</t>
  </si>
  <si>
    <t>73/1173</t>
  </si>
  <si>
    <t>2,6/3,6</t>
  </si>
  <si>
    <t>KM GESIT/PNOL</t>
  </si>
  <si>
    <t>MT. PIS PATRIOT/YCYN2</t>
  </si>
  <si>
    <t>LCT PUTRA JAYA/YBNY</t>
  </si>
  <si>
    <t>KLM. SENTOSA JAYA SET/YDUUZ</t>
  </si>
  <si>
    <t>MV GEORGIA SEJAHTERA/YBIP2</t>
  </si>
  <si>
    <t>53/1385</t>
  </si>
  <si>
    <t>18/67.28</t>
  </si>
  <si>
    <t>TB.MAIDEN STAR/YD2086 - TK.SENTANA BLOCK</t>
  </si>
  <si>
    <t>TB.PERDANA 5/YDB3212-TK.SATUI JAYA</t>
  </si>
  <si>
    <t>TB.VOYAGER 5/YDA6911-TK.AZAMARA27</t>
  </si>
  <si>
    <t>27,37/96,13</t>
  </si>
  <si>
    <t>213/3835</t>
  </si>
  <si>
    <t>3/1,10</t>
  </si>
  <si>
    <t>29,2/87,84</t>
  </si>
  <si>
    <t>260/3144</t>
  </si>
  <si>
    <t>27,01/94,50</t>
  </si>
  <si>
    <t>MV MSC HAILEY ANN III/5LEV3</t>
  </si>
  <si>
    <t>23,14/83</t>
  </si>
  <si>
    <t>TB. AS STAR 1/YDA4995 - TK. AS STAR 2</t>
  </si>
  <si>
    <t>19/54,19</t>
  </si>
  <si>
    <t>85/781</t>
  </si>
  <si>
    <t>2/2,8</t>
  </si>
  <si>
    <t>MV. YASA EMERAID/V7A5244</t>
  </si>
  <si>
    <t>TB. VIKING LAUT / YDA4424 - TK. SM ATLANTIC 128</t>
  </si>
  <si>
    <t>SGM</t>
  </si>
  <si>
    <t>26.30/80,76</t>
  </si>
  <si>
    <t>157/2558</t>
  </si>
  <si>
    <t>MT. GOLDEN WAVE/3FJG3</t>
  </si>
  <si>
    <t>4/3,6</t>
  </si>
  <si>
    <t>MV. TRANSINDO 9 / PONB</t>
  </si>
  <si>
    <t>KM INDAH MEGAH/YHML</t>
  </si>
  <si>
    <t>MV YM RESPECT/V7A5733</t>
  </si>
  <si>
    <t>MV.JAWAN/HOTU</t>
  </si>
  <si>
    <t>MV.CASTLE/V7TE5</t>
  </si>
  <si>
    <t>MV. ELISAR/9HA2773</t>
  </si>
  <si>
    <t>TB. SEBESI 3/YDB4712 - TK. SEBUKU 3</t>
  </si>
  <si>
    <t>24,97/87,78</t>
  </si>
  <si>
    <t>MT.GAS MALUKU/PNDQ</t>
  </si>
  <si>
    <t>4/5</t>
  </si>
  <si>
    <t>TB. SATRIA NIAS/YD4095 - TK. ABKIM 333</t>
  </si>
  <si>
    <t>LMP</t>
  </si>
  <si>
    <t>20,55/73,15</t>
  </si>
  <si>
    <t>69/7315</t>
  </si>
  <si>
    <t>TB. GRM ASAHAN/YDB8477</t>
  </si>
  <si>
    <t>TB.TOB 22/YDA3271-TK.MANALINE 9000</t>
  </si>
  <si>
    <t>24.76/87.78</t>
  </si>
  <si>
    <t>156/3145</t>
  </si>
  <si>
    <t>3.2/0.7</t>
  </si>
  <si>
    <t>MT.GAS AMBALAT/PLKU</t>
  </si>
  <si>
    <t>MV TIAN EN 6/3E2051</t>
  </si>
  <si>
    <t>TB.SD DIAMOND/YDA3196-TK.SINDO GARUDA KENCANA</t>
  </si>
  <si>
    <t>MT. GAS KALIMANTAN/YHPN</t>
  </si>
  <si>
    <t>TPK</t>
  </si>
  <si>
    <t>MV. TIGER SOUTH/VRKE3</t>
  </si>
  <si>
    <t>MV.MEDI YOKOHAMA/3FF62</t>
  </si>
  <si>
    <t>TB MITRA KENCANA II/YDA3387 - TK SUMBER KENCANA III</t>
  </si>
  <si>
    <t>23,8/80,76</t>
  </si>
  <si>
    <t>186/2576</t>
  </si>
  <si>
    <t>MT. CHAMPION TERN/LATB7</t>
  </si>
  <si>
    <t>TB. MITRA KENCANA X/YD1490 - TKSUMBER KENCANA V</t>
  </si>
  <si>
    <t>24/80,78</t>
  </si>
  <si>
    <t>127/2583</t>
  </si>
  <si>
    <t>2,8/3,8</t>
  </si>
  <si>
    <t>TB. WAYA BULAN INDAH/YDA6952 - TK. MBS 322</t>
  </si>
  <si>
    <t>29/90</t>
  </si>
  <si>
    <t>202/3143</t>
  </si>
  <si>
    <t xml:space="preserve">KM. ROKAN LESTARI/YFYS </t>
  </si>
  <si>
    <t>3/0,75</t>
  </si>
  <si>
    <t>TB.EKA MARIS 9/YD5258-BG.PEGASUS 8</t>
  </si>
  <si>
    <t>190/3082</t>
  </si>
  <si>
    <t>MV. MSC SOPHIE/3FKP7</t>
  </si>
  <si>
    <t>MT. GRIYA ENIM/PMNR</t>
  </si>
  <si>
    <t>MV. AMOY FORTUNE/VRII3</t>
  </si>
  <si>
    <t>TB.MDM BENOA/YD5132-TK.MDM 11</t>
  </si>
  <si>
    <t>29.50/120</t>
  </si>
  <si>
    <t>MT.GAS SOECHI 28/PNLT</t>
  </si>
  <si>
    <t>99.67</t>
  </si>
  <si>
    <t>TB. SABAH LAUT - TK. SAMUDRA 1</t>
  </si>
  <si>
    <t>000000000</t>
  </si>
  <si>
    <t>TB. YANG VITI XI / YD6598 - TK. TOTO XV</t>
  </si>
  <si>
    <t>MV. HAI XING/3FGY4</t>
  </si>
  <si>
    <t>238/3075</t>
  </si>
  <si>
    <t>3,1/-</t>
  </si>
  <si>
    <t>MV. JOHANNES MAERSK/OWFD2</t>
  </si>
  <si>
    <t>TB. SRIWIJAYA 01/YDA3138-TK. MUSI 101</t>
  </si>
  <si>
    <t>MV. PRILLY/YBDL2</t>
  </si>
  <si>
    <t>MV. SM VISION/3EJN6</t>
  </si>
  <si>
    <t>MV. CL MONA/5LFB5</t>
  </si>
  <si>
    <t>MV WGM 256T/YBGP2</t>
  </si>
  <si>
    <t>3/-</t>
  </si>
  <si>
    <t>MV.ZHONG WANG KE DA/3E2793</t>
  </si>
  <si>
    <t>MV. TM HAI HA 988/3WFZ9</t>
  </si>
  <si>
    <t>MV. ATIAH MULYA INDAH/YC5687</t>
  </si>
  <si>
    <t xml:space="preserve">TB. DAYA GUNA/YDB4653 - TK. INDOTAMA RISKINDO </t>
  </si>
  <si>
    <t>24,97/87/78</t>
  </si>
  <si>
    <t>2,8/4,8</t>
  </si>
  <si>
    <t>KM TRIFOSA/YDHY</t>
  </si>
  <si>
    <t>MV.SRIKANDI INDONESIA 19/YBED2</t>
  </si>
  <si>
    <t>TB.LIONEL/YDB4278 - TK.ANUGRAH 9</t>
  </si>
  <si>
    <t>28/52,67</t>
  </si>
  <si>
    <t>78/1061</t>
  </si>
  <si>
    <t>2,4/3,6</t>
  </si>
  <si>
    <t>MV.OWUSU MARU/3FYB9</t>
  </si>
  <si>
    <t>KM.SEJAHTERA 30/POBX</t>
  </si>
  <si>
    <t>MV. LIANSON HERMES/9V6440</t>
  </si>
  <si>
    <t>MV.GOLDEN DAY/V7A4193</t>
  </si>
  <si>
    <t>TB.LINTAS GEMILANG 2002/YDA3650-TK.PSB 3007</t>
  </si>
  <si>
    <t>25.56/87.78</t>
  </si>
  <si>
    <t>236/3037</t>
  </si>
  <si>
    <t>3.0/4.1</t>
  </si>
  <si>
    <t>30/96</t>
  </si>
  <si>
    <t>299/3440</t>
  </si>
  <si>
    <t>3,2/0,76</t>
  </si>
  <si>
    <t>TB BOMAS CAHAYA/YD3591 - TK. PUKU TIGA 330</t>
  </si>
  <si>
    <t>TB. LINTAS PAWAN/YDA4958 - TK. LINTAS PERKASA</t>
  </si>
  <si>
    <t>19/55,68</t>
  </si>
  <si>
    <t>85/799</t>
  </si>
  <si>
    <t>2,2/2,6</t>
  </si>
  <si>
    <t>MV TRESNAWATI/PMZE</t>
  </si>
  <si>
    <t>MV, MARAN FUTURE/5VCJ2</t>
  </si>
  <si>
    <t>KMP. DOBONSOLO/YEVX</t>
  </si>
  <si>
    <t>PELNI</t>
  </si>
  <si>
    <t>TB.TERUS DAYA 39/YD3964-TK.MARCOPOLLO 3088</t>
  </si>
  <si>
    <t>26/83.5</t>
  </si>
  <si>
    <t>254/3344</t>
  </si>
  <si>
    <t>2.9/0.75</t>
  </si>
  <si>
    <t>SSS</t>
  </si>
  <si>
    <t>TB.BARUNA I / YDA4861-TK.BPL I</t>
  </si>
  <si>
    <t>24.79/87.78</t>
  </si>
  <si>
    <t>207/3107</t>
  </si>
  <si>
    <t>TB.PAITON/YDA4130 - TK.APOL 3012</t>
  </si>
  <si>
    <t>27,5/87,78</t>
  </si>
  <si>
    <t>250/3122</t>
  </si>
  <si>
    <t>4,27/5,49</t>
  </si>
  <si>
    <t>KM. SAMUDERAWANI 2/YB4689</t>
  </si>
  <si>
    <t>MV. ABM SATRIA/YDUL2</t>
  </si>
  <si>
    <t>MV. SEA TIMBER/HSB4766</t>
  </si>
  <si>
    <t>MV. BARI SILVER/HOGW</t>
  </si>
  <si>
    <t>MV. CLIA/D5BJ8</t>
  </si>
  <si>
    <t>TB. MARINE 1303/YD3683 - TK. MARINE POWER2711</t>
  </si>
  <si>
    <t>21/82</t>
  </si>
  <si>
    <t>153/2171</t>
  </si>
  <si>
    <t>3,2/4,3</t>
  </si>
  <si>
    <t>MV. PACIFIC HOPE/3FLH6</t>
  </si>
  <si>
    <t>MV. SAGA FALCON/VRKX7</t>
  </si>
  <si>
    <t>KLI</t>
  </si>
  <si>
    <t>MV LIANSON DYNAMIC/9V6040</t>
  </si>
  <si>
    <t>MV. LINTAS BRANTAS/POWE</t>
  </si>
  <si>
    <t>MV. GLOVIS DESIRE/D7EO</t>
  </si>
  <si>
    <t>TB.LL WISRA/YDC4395 - TK.KAHURIPAN 503</t>
  </si>
  <si>
    <t>22,93/83</t>
  </si>
  <si>
    <t>132/2844</t>
  </si>
  <si>
    <t>2,4/1,8</t>
  </si>
  <si>
    <t>143/1982</t>
  </si>
  <si>
    <t>MV.ARIMBI BARUNA/PLMJ</t>
  </si>
  <si>
    <t>TB. TRANS POWER 221/YDC4551 - TK. GOLD TRANS 3308</t>
  </si>
  <si>
    <t>27/128</t>
  </si>
  <si>
    <t>2,6/0,6</t>
  </si>
  <si>
    <t>TB.KARYA TANGGUH 2203/YDB4830-TK.CITRA MANDIRI 2015</t>
  </si>
  <si>
    <t>21,18/67,28</t>
  </si>
  <si>
    <t>116/889</t>
  </si>
  <si>
    <t>2,6/0,8</t>
  </si>
  <si>
    <t>KM. SINAR USAHA JAYA 3/YEEX</t>
  </si>
  <si>
    <t>TB.MLB BULUKUMBA 32/YDC3407-TK.MLB 3901</t>
  </si>
  <si>
    <t>30/120</t>
  </si>
  <si>
    <t>3.2/1.2</t>
  </si>
  <si>
    <t>288/1365</t>
  </si>
  <si>
    <t>3.0/3.6</t>
  </si>
  <si>
    <t>MV.KARUNIA GEMILANG I/YDUC2</t>
  </si>
  <si>
    <t>KM. MAJU 88/JZGX</t>
  </si>
  <si>
    <t>MT.GAS LAURA/YCUY2</t>
  </si>
  <si>
    <t>99.9</t>
  </si>
  <si>
    <t>MV.GLOVIS DIAMOND/D7RR</t>
  </si>
  <si>
    <t>MV BEAUTY PEONY/V7JC8</t>
  </si>
  <si>
    <t>MV.MASK/3ERM3</t>
  </si>
  <si>
    <t>KM.MERAK INDAH II/YHFI</t>
  </si>
  <si>
    <t>ASS</t>
  </si>
  <si>
    <t>TB.MEGA TOP 17/YD4344 - TK MEGATOP 7</t>
  </si>
  <si>
    <t>28/89</t>
  </si>
  <si>
    <t>259/3889</t>
  </si>
  <si>
    <t>MV.GRAND STAR /3E2752</t>
  </si>
  <si>
    <t>MV.DORIC SHOGUN/3FLT8</t>
  </si>
  <si>
    <t>TB. BINA MARINE 55/YD3817 - TK. TITAN 22</t>
  </si>
  <si>
    <t>28/93</t>
  </si>
  <si>
    <t>265/3065</t>
  </si>
  <si>
    <t>3,2/5,0</t>
  </si>
  <si>
    <t>MT PUSAKA GEMILANG/9M2715</t>
  </si>
  <si>
    <t>JBM</t>
  </si>
  <si>
    <t>KM. LINTAS 18/YDDP</t>
  </si>
  <si>
    <t>216/3584</t>
  </si>
  <si>
    <t>TB. CITRA 83 / YDA3404 - TK. CITRA 3008</t>
  </si>
  <si>
    <t>MV. STAR SEJATI/PMGA</t>
  </si>
  <si>
    <t>MV AMAZING GRACE 87/JZAK</t>
  </si>
  <si>
    <t>MV. MSC NAGOYA V/3ESJ8</t>
  </si>
  <si>
    <t>TB.LL JONI/YDA4168 - TK KAHURIPAN 302</t>
  </si>
  <si>
    <t>SPB CHARLIE MARINE/YDYP2</t>
  </si>
  <si>
    <t>3.0/5.04</t>
  </si>
  <si>
    <t>221/3300</t>
  </si>
  <si>
    <t>25.2/91.44</t>
  </si>
  <si>
    <t>161/3176</t>
  </si>
  <si>
    <t>MT.SHINTA/PMIS</t>
  </si>
  <si>
    <t>TB.VARIA USAHA 18/YDB6219-BG.LINTAS SEGARA 10</t>
  </si>
  <si>
    <t>249/3103</t>
  </si>
  <si>
    <t>KMP. SAFIRA NUSANTARA/YHHN</t>
  </si>
  <si>
    <t>TB. EKA MARIS 8/ YDA4392 - TK. PEGASUS 5</t>
  </si>
  <si>
    <t>194/3186</t>
  </si>
  <si>
    <t>4.0/0.6</t>
  </si>
  <si>
    <t>3.0/4.2</t>
  </si>
  <si>
    <t>MT.ES VALOR/5LCH9</t>
  </si>
  <si>
    <t>139.9</t>
  </si>
  <si>
    <t>TB PUTRA MANDAR 179/YDA6993 - TK PBB TANDUNG BALANIPA 3011</t>
  </si>
  <si>
    <t>27.07/87.78</t>
  </si>
  <si>
    <t>3.6/0.5</t>
  </si>
  <si>
    <t>TB.PROFIT LEGEND THREE/YDA4385-TK.WIND BUILD 318</t>
  </si>
  <si>
    <t>25/100</t>
  </si>
  <si>
    <t>196/4138</t>
  </si>
  <si>
    <t>MT. OBSIDIAN/V7K02</t>
  </si>
  <si>
    <t>TB. MACALLAN 5/9WQT8 - TK. PALMER</t>
  </si>
  <si>
    <t>30/100</t>
  </si>
  <si>
    <t>278/4319</t>
  </si>
  <si>
    <t>TB.KANCIL MAS DUA /YDA4841-TK.BUMI SAWIT DUA</t>
  </si>
  <si>
    <t>3.2/5.0</t>
  </si>
  <si>
    <t>2.8/4.5</t>
  </si>
  <si>
    <t>3.0/3.8</t>
  </si>
  <si>
    <t>TB.MOMENTUM 10/YDA3448  - TK.MOMENTUM 30010</t>
  </si>
  <si>
    <t>29/87.71</t>
  </si>
  <si>
    <t>TB. JOHAN JAYA 153 / YDA4727 - TK. KAPUAS JAYA 3115</t>
  </si>
  <si>
    <t>TB.ROYAL TB I/YDB4527-OB.ROYAL I</t>
  </si>
  <si>
    <t>155/1151</t>
  </si>
  <si>
    <t>KLM. HATI MURNI ABADI/YDRD2</t>
  </si>
  <si>
    <t>12.3</t>
  </si>
  <si>
    <t>25.5/52.6</t>
  </si>
  <si>
    <t>MV. DAREEN/3FYL8</t>
  </si>
  <si>
    <t>TB.PATRIA 24/YDC4425-TK.PATRIA 3212</t>
  </si>
  <si>
    <t>186/4162</t>
  </si>
  <si>
    <t>TB.JOHAN JAYA 157 /YD3540 - TK. KAPUAS JAYA 3005</t>
  </si>
  <si>
    <t>MV. PRIMA SEJAHTERA/YDAK3</t>
  </si>
  <si>
    <t>189.9</t>
  </si>
  <si>
    <t>TB.EQUATOR 30/YDA6683 - TK. PANCA NIRWANA I</t>
  </si>
  <si>
    <t>265/3141</t>
  </si>
  <si>
    <t>2,8/4,3</t>
  </si>
  <si>
    <t>TB. SATRIA MADA/YDB4160 - TK. ARTHA NIAGA</t>
  </si>
  <si>
    <t>TB. OASIS XV/YDA3201 - TK. LINTAS SAMUDRA 57</t>
  </si>
  <si>
    <t>22,81/80</t>
  </si>
  <si>
    <t>26/97</t>
  </si>
  <si>
    <t>3.0/3.5</t>
  </si>
  <si>
    <t>2.8/3.0</t>
  </si>
  <si>
    <t>136.5</t>
  </si>
  <si>
    <t>26.22/94.64</t>
  </si>
  <si>
    <t>2.6/0.8</t>
  </si>
  <si>
    <t>3.5/4.7</t>
  </si>
  <si>
    <t>SPOB. CAVALO MARINHO 11/YDLY2</t>
  </si>
  <si>
    <t>2.5</t>
  </si>
  <si>
    <t xml:space="preserve">MV. DESTINY/D5KH3 </t>
  </si>
  <si>
    <t>10.0</t>
  </si>
  <si>
    <t>ANP</t>
  </si>
  <si>
    <t>TB. TITAN 23/YDA3742 - T. TITAN 24</t>
  </si>
  <si>
    <t>222/3065</t>
  </si>
  <si>
    <t>2,9/4,7</t>
  </si>
  <si>
    <t>TB.BOMAS EXPLORER/YDA4428 - TK.PULAU TIGA 3405</t>
  </si>
  <si>
    <t>TB. ENDEAVOR 1/YDA3603 - TK. PASIFIC SUN 1</t>
  </si>
  <si>
    <t>196/2775</t>
  </si>
  <si>
    <t>KLM. BATU MANDI/PLMI</t>
  </si>
  <si>
    <t>MV.SM CHALLENGER/V7TJ5</t>
  </si>
  <si>
    <t>3.5/5.0</t>
  </si>
  <si>
    <t>2.1/2.8</t>
  </si>
  <si>
    <t>MV MSC LANGSAR/5LAR6</t>
  </si>
  <si>
    <t>KM. ANUGRAH BUANA V/PMCC</t>
  </si>
  <si>
    <t>MV. HAFNIA ALMANDINE/V7GV9</t>
  </si>
  <si>
    <t>TB. BUANA 2003/YDA3628 - TK NUSANTARA 3009</t>
  </si>
  <si>
    <t>MV. QI XIA SHAN/H3HC</t>
  </si>
  <si>
    <t>MV.TRUONG MINH SUCESS/XVKA7</t>
  </si>
  <si>
    <t>TB.LIBERTY 7/YD5320-TK.AZAMARA 18</t>
  </si>
  <si>
    <t>26.25/80.87</t>
  </si>
  <si>
    <t>255/3124</t>
  </si>
  <si>
    <t>MT. ASIAN RIGEL/YDYQ2</t>
  </si>
  <si>
    <t>26,21/93,69</t>
  </si>
  <si>
    <t>3,0/0,8</t>
  </si>
  <si>
    <t>28,03/87,78</t>
  </si>
  <si>
    <t>271/3255</t>
  </si>
  <si>
    <t>3,5/3,0</t>
  </si>
  <si>
    <t>MT. SINAR MALUKU/YBEP2</t>
  </si>
  <si>
    <t>MV. MEGHNA PROSPER/S2BT8</t>
  </si>
  <si>
    <t>29/98</t>
  </si>
  <si>
    <t xml:space="preserve">TB.TITAN 53 / YDA3932 - TK TITAN 54 </t>
  </si>
  <si>
    <t>MV.LANA NAREE/HSGL</t>
  </si>
  <si>
    <t>TB. KARIMUN ABADI II / YDA3124 - TK. SENTOSA 2502</t>
  </si>
  <si>
    <t>TERANSINDO BAHARI PERKASA</t>
  </si>
  <si>
    <t>3.0/4.3</t>
  </si>
  <si>
    <t>3,0/4.4</t>
  </si>
  <si>
    <t>2.5/2.5</t>
  </si>
  <si>
    <t>21/73</t>
  </si>
  <si>
    <t>142/2026</t>
  </si>
  <si>
    <t>TB. JOHAN JAYA 102 / YDA4073 - TK. KAPUAS JAYA 365</t>
  </si>
  <si>
    <t>KLM. HATI BUANA SETIA/JZCM</t>
  </si>
  <si>
    <t>MV. ROYAL 89/3WJR9</t>
  </si>
  <si>
    <t>232/4116</t>
  </si>
  <si>
    <t>24,69/79,01</t>
  </si>
  <si>
    <t>MT.NAKAEI/YDTB2</t>
  </si>
  <si>
    <t>BPS</t>
  </si>
  <si>
    <t>MT. DUZGIT INTGERITY/9HQ59</t>
  </si>
  <si>
    <t>MT. SI CHOU ZHI LU/9V6735</t>
  </si>
  <si>
    <t>MT.TORM THYRA/9V3906</t>
  </si>
  <si>
    <t>3,0/0,6</t>
  </si>
  <si>
    <t>3,2/0.8</t>
  </si>
  <si>
    <t>2,8/3,0</t>
  </si>
  <si>
    <t>21,7/76</t>
  </si>
  <si>
    <t>129/2609</t>
  </si>
  <si>
    <t>MV. TOKYO QUEEN/9V6476</t>
  </si>
  <si>
    <t>3,0/3,0</t>
  </si>
  <si>
    <t>TB.TUNAS MUDA / YDA4904 - TK.CITRA MANDIRI 2016</t>
  </si>
  <si>
    <t>21/53</t>
  </si>
  <si>
    <t>MV.FORTUNE ISLAND/YBFT2</t>
  </si>
  <si>
    <t>20,98/57,84</t>
  </si>
  <si>
    <t>3,8/0,2</t>
  </si>
  <si>
    <t>MV. UNI HORIZON/VR2X7</t>
  </si>
  <si>
    <t>26,75/87,84</t>
  </si>
  <si>
    <t>3,4/0,7</t>
  </si>
  <si>
    <t>2,6/2,5</t>
  </si>
  <si>
    <t>TB. MULTI 02/YDB3231-TK.MULTI 3002</t>
  </si>
  <si>
    <t>27,9/90</t>
  </si>
  <si>
    <t>2,4/0,8</t>
  </si>
  <si>
    <t>MV MSC AMEERA III / A8PA8</t>
  </si>
  <si>
    <t>3,0/2,8</t>
  </si>
  <si>
    <t>TB. RIMBA MEGAH 18/YD4164-TK.COASTWAY 1908C</t>
  </si>
  <si>
    <t>131/980</t>
  </si>
  <si>
    <t>KM. AMMAR/YDZL</t>
  </si>
  <si>
    <t>25/57,67</t>
  </si>
  <si>
    <t>MT. SINAR MOROTAI / YBSL2</t>
  </si>
  <si>
    <t>214/4371</t>
  </si>
  <si>
    <t>21,28/67,3</t>
  </si>
  <si>
    <t>TB. MARTHA MAJU/YD2077 - TK. SENTANA LESTARI</t>
  </si>
  <si>
    <t>24,3687,94</t>
  </si>
  <si>
    <t>195/3138</t>
  </si>
  <si>
    <t>MV. ABDUL M/E5U3857</t>
  </si>
  <si>
    <t>TB.KIETRANS I/YD3688 / TK. STAR MARINE 3301</t>
  </si>
  <si>
    <t>AHT SWISSCO SEAHORSE/POKX  - TK. PULAU JAYA 336-1</t>
  </si>
  <si>
    <t>36/110</t>
  </si>
  <si>
    <t>375/4876</t>
  </si>
  <si>
    <t>3,2/5,7</t>
  </si>
  <si>
    <t>3,0/3,4</t>
  </si>
  <si>
    <t>21/65</t>
  </si>
  <si>
    <t>69/850</t>
  </si>
  <si>
    <t>2.4/3.4</t>
  </si>
  <si>
    <t>MV. AFRICAN EAGLE / C652065</t>
  </si>
  <si>
    <t>178.43</t>
  </si>
  <si>
    <t>6.0</t>
  </si>
  <si>
    <t>MV. BULK ORIANA/3E3658</t>
  </si>
  <si>
    <t>13.2</t>
  </si>
  <si>
    <t>27.36/90.37</t>
  </si>
  <si>
    <t>3.2/0.2</t>
  </si>
  <si>
    <t>KMP.MUTIARA SENTOSA III/YBGF2</t>
  </si>
  <si>
    <t>3.6/5.1</t>
  </si>
  <si>
    <t>TB. BOMAS KARYA / YDA4105 - TK. PULAU TIGA 38</t>
  </si>
  <si>
    <t>2.3/4.5</t>
  </si>
  <si>
    <t>TB. BOMAS GOLD/YDA4015-TK.PULAU TIGA 3006</t>
  </si>
  <si>
    <t>24.5/84.87</t>
  </si>
  <si>
    <t>252/3111</t>
  </si>
  <si>
    <t>TB. TRANS POWER 245/YD5215-TK.GOLD TRANS 3008</t>
  </si>
  <si>
    <t>29.36/87.84</t>
  </si>
  <si>
    <t>271/3315</t>
  </si>
  <si>
    <t>4.5/0.8</t>
  </si>
  <si>
    <t>MT. BUANA MAS PERMAI / YEFE</t>
  </si>
  <si>
    <t>63.80</t>
  </si>
  <si>
    <t>KM.INTAN 71/YHHE</t>
  </si>
  <si>
    <t>27.23/33.30</t>
  </si>
  <si>
    <t>239/4338</t>
  </si>
  <si>
    <t>3.4/4.2</t>
  </si>
  <si>
    <t>TB.DHARMA 107/YDC6260-TK.LANCAR 3308</t>
  </si>
  <si>
    <t>MV.HONGLI 8/3FMD9</t>
  </si>
  <si>
    <t>10.01</t>
  </si>
  <si>
    <t>MV.CAHAYA MUSTIKA LAUT I /YCDN2</t>
  </si>
  <si>
    <t>9.8</t>
  </si>
  <si>
    <t>MV.HOANH SON SKY/3FJK</t>
  </si>
  <si>
    <t>12.0</t>
  </si>
  <si>
    <t>TB.MT 20 1301/YDB6112-TK.M 80 1307</t>
  </si>
  <si>
    <t>19/98</t>
  </si>
  <si>
    <t>74/3401</t>
  </si>
  <si>
    <t>3.8/4.2</t>
  </si>
  <si>
    <t>MT.ANUGERAH DEWI 15/JZQJ</t>
  </si>
  <si>
    <t>TB.NELLY 65/YDA6829-TK.NELLY 68</t>
  </si>
  <si>
    <t>20.70/79.01</t>
  </si>
  <si>
    <t>103/652</t>
  </si>
  <si>
    <t>3.5/3.7</t>
  </si>
  <si>
    <t>TB. DAVIS.M / YDA4252 - TK.VOYAGER 3</t>
  </si>
  <si>
    <t>28.80/2480</t>
  </si>
  <si>
    <t>241/3145</t>
  </si>
  <si>
    <t>2.4/4,8</t>
  </si>
  <si>
    <t>MVGREYMAN EXPRESS/9V3518</t>
  </si>
  <si>
    <t>TB. TERATAI 1600 2/YDC3429 - TK. ALTHAF 3001</t>
  </si>
  <si>
    <t>25,15/87,78</t>
  </si>
  <si>
    <t>245/3122</t>
  </si>
  <si>
    <t>3,0/4,5</t>
  </si>
  <si>
    <t>MV.SOL HONGKONG/5LEJ3</t>
  </si>
  <si>
    <t xml:space="preserve">KM. BAHTERA SUKSES/JZDV </t>
  </si>
  <si>
    <t>MV. THOR MADOC/9V2806</t>
  </si>
  <si>
    <t>TB. NELLY 37 YDA3236 - TK. NELLY 84</t>
  </si>
  <si>
    <t>35/75</t>
  </si>
  <si>
    <t>154/3271</t>
  </si>
  <si>
    <t>3,4/0,6</t>
  </si>
  <si>
    <t>MV. ORIENT VESTA/3EVA3</t>
  </si>
  <si>
    <t>MV.BARI DIAMOND/3E3426</t>
  </si>
  <si>
    <t>MT.AKRISIOS/V7A5783</t>
  </si>
  <si>
    <t>MV BBG INTEGRITY/VRQR5</t>
  </si>
  <si>
    <t>MT. RM5/HSB8092</t>
  </si>
  <si>
    <t>TB. DUTA KAPUAS 20 / YDB4567 - TK. KAPUAS 31</t>
  </si>
  <si>
    <t>21.5/61,82</t>
  </si>
  <si>
    <t>TB.KELINCI MAS TIGA/YDB4341 -TK.BUMI ELAIS TIGA</t>
  </si>
  <si>
    <t>2.0/2.6</t>
  </si>
  <si>
    <t>TB. KSA CAKRA / YD6476 - TK. NELLY 34</t>
  </si>
  <si>
    <t>3.7/0.6</t>
  </si>
  <si>
    <t>TB. BOMAS TIARA / YD3654 - TK. PULAU TIGA 3009</t>
  </si>
  <si>
    <t>3.7/5.0</t>
  </si>
  <si>
    <t>4.2/6.4</t>
  </si>
  <si>
    <t>MV TRUONG LOC 16/XVWT</t>
  </si>
  <si>
    <t xml:space="preserve">MT THANASIS/A8DH4 </t>
  </si>
  <si>
    <t>KM.BAHTERA SEJATI/YCVX</t>
  </si>
  <si>
    <t>MT SILVER DUBAI / 3ELE4</t>
  </si>
  <si>
    <t>MV MAERSK NADI / VREP3</t>
  </si>
  <si>
    <t>MV MSC CHERYL 3 / D5ES9</t>
  </si>
  <si>
    <t>MT EDZARD SCHULTE / 2CVX9</t>
  </si>
  <si>
    <t>145.15</t>
  </si>
  <si>
    <t>2.5/3.8</t>
  </si>
  <si>
    <t>3.0/0.7</t>
  </si>
  <si>
    <t>LCT AYU 28/YCJJ</t>
  </si>
  <si>
    <t>MT. ANUGERAH DEWI 5/JZQX</t>
  </si>
  <si>
    <t>MV.VOSCO SUNRISE/3WJV9</t>
  </si>
  <si>
    <t xml:space="preserve">TB.MR 801/YD6599-TK.SM JAYA </t>
  </si>
  <si>
    <t>149/1484</t>
  </si>
  <si>
    <t>23,35/64,01</t>
  </si>
  <si>
    <t>2,6/4,8</t>
  </si>
  <si>
    <t>MT. TIRTA SAMURDA XI/PMKS</t>
  </si>
  <si>
    <t>MV. SURYA SAMUDRA V/YGNU</t>
  </si>
  <si>
    <t>MT, GAS OLYMPIC/YDOV2</t>
  </si>
  <si>
    <t>MV. LYNUX INNOVATION/3E4100</t>
  </si>
  <si>
    <t>TB. ADANG BAY/TDA4027 - TK. APOL 3011</t>
  </si>
  <si>
    <t>TB.TOB II / YDA6640-TK.APOL 3016</t>
  </si>
  <si>
    <t>215/3122</t>
  </si>
  <si>
    <t>3.0/4.8</t>
  </si>
  <si>
    <t>MV.TRIFOSA/YDYH</t>
  </si>
  <si>
    <t>KM.KOTA NABIRE/YDZA</t>
  </si>
  <si>
    <t>MV.MSC PAOLA/D5PEG</t>
  </si>
  <si>
    <t>KM.AJENG VI/PNNJ</t>
  </si>
  <si>
    <t>63.50</t>
  </si>
  <si>
    <t>SPB BRAVO MARINE / YDXJ2</t>
  </si>
  <si>
    <t>Panjang, Tarahan ( SIP, BA, Semen Padang, Dynamix ), TEL Sebalang</t>
  </si>
  <si>
    <t>MV MONDIAL SUN/V7A2467</t>
  </si>
  <si>
    <t>12.38</t>
  </si>
  <si>
    <t>MT BINTANG SAMDR T/YCHU2</t>
  </si>
  <si>
    <t>7.4</t>
  </si>
  <si>
    <t>TB KARYA TANGGUH/YDB4651-TK.DAYA UTAMA 02</t>
  </si>
  <si>
    <t>120/1403</t>
  </si>
  <si>
    <t>TB. UNITED 2017 / YDB3002 - TK. MEGANTA 3006</t>
  </si>
  <si>
    <t>27/89</t>
  </si>
  <si>
    <t>220/1348</t>
  </si>
  <si>
    <t>21.84/72.59</t>
  </si>
  <si>
    <t>2.7/1.0</t>
  </si>
  <si>
    <t>66.7</t>
  </si>
  <si>
    <t>MV.APOLLO MARCH/3E2295</t>
  </si>
  <si>
    <t>18.96/67.30</t>
  </si>
  <si>
    <t>MT.KAKUSHO 3/3FUY4</t>
  </si>
  <si>
    <t>96.30</t>
  </si>
  <si>
    <t>ASM</t>
  </si>
  <si>
    <t>TB.LEOPARD 02/YDB4171-TK.POLARIS 02</t>
  </si>
  <si>
    <t>21/87</t>
  </si>
  <si>
    <t>193/3145</t>
  </si>
  <si>
    <t>7.0</t>
  </si>
  <si>
    <t>MV.BABITONGA/HPQM</t>
  </si>
  <si>
    <t>228.99</t>
  </si>
  <si>
    <t>KM.SAHABAT SEJATI 8/YELV</t>
  </si>
  <si>
    <t>TB ANUGERAH BERSAMA 2235/YDC6204 - TK OCEAN MASTER 206</t>
  </si>
  <si>
    <t>30/85</t>
  </si>
  <si>
    <t>262/3708</t>
  </si>
  <si>
    <t>MT.ERICA 9/JZMF</t>
  </si>
  <si>
    <t>68.8</t>
  </si>
  <si>
    <t>TB.AS JAYA 8/YDB4836-TK.AS GLORY 20</t>
  </si>
  <si>
    <t>32/89</t>
  </si>
  <si>
    <t>292/2753</t>
  </si>
  <si>
    <t>3.0/3.2</t>
  </si>
  <si>
    <t>3.3/4.6</t>
  </si>
  <si>
    <t>3.2/5.4</t>
  </si>
  <si>
    <t>TB.BINTANG USAHA/YD5328-TK.JINLIAN 8</t>
  </si>
  <si>
    <t>10.20/35.11</t>
  </si>
  <si>
    <t>18/225</t>
  </si>
  <si>
    <t>1.6/2.4</t>
  </si>
  <si>
    <t>2.3/0.8</t>
  </si>
  <si>
    <t>MT. ORIENTAL EOS/5LEB2</t>
  </si>
  <si>
    <t>ALB</t>
  </si>
  <si>
    <t>MT.BON CHALLENGER/D7J5</t>
  </si>
  <si>
    <t>KM.LATIFAH BARUNA/YDCO3</t>
  </si>
  <si>
    <t>TB ALPINE MARINE 24/9V8951 - TK YIYAN 10</t>
  </si>
  <si>
    <t>268/3267</t>
  </si>
  <si>
    <t>3,4/0,9</t>
  </si>
  <si>
    <t>MT.TORM STRENGTH/OXDW2</t>
  </si>
  <si>
    <t>MV. KAMADIYA/YDQQ2</t>
  </si>
  <si>
    <t>TB. BARRACUDA LAUT / YD3613 - TK. PRIORITY 188</t>
  </si>
  <si>
    <t>TB. OLIVIA/YDB4358 - TK. BROOKLYN</t>
  </si>
  <si>
    <t>MV. SEA OPAL / 3FBP6</t>
  </si>
  <si>
    <t>6.95</t>
  </si>
  <si>
    <t>2.7/3.8</t>
  </si>
  <si>
    <t>MT.TIRTA SAMUDRA XI / PMKS</t>
  </si>
  <si>
    <t>25.3/300</t>
  </si>
  <si>
    <t>222/3346</t>
  </si>
  <si>
    <t>3.2/2.1</t>
  </si>
  <si>
    <t>TB.YANG VITI XVIII/YD6317-TK.TOTO VIII</t>
  </si>
  <si>
    <t>24.62/96.56</t>
  </si>
  <si>
    <t>195/5135</t>
  </si>
  <si>
    <t>2.8/0.8</t>
  </si>
  <si>
    <t>TB.MOMENTUM 03/YDA3371-TK.MOMENTUM 3003</t>
  </si>
  <si>
    <t>22/87.78</t>
  </si>
  <si>
    <t>100/3156</t>
  </si>
  <si>
    <t>3.2/0.67</t>
  </si>
  <si>
    <t>MT. BULL SHARK/V7A6057</t>
  </si>
  <si>
    <t>2.2</t>
  </si>
  <si>
    <t>183.2</t>
  </si>
  <si>
    <t>2.4/1.0</t>
  </si>
  <si>
    <t>34.7</t>
  </si>
  <si>
    <t>MT. AS MARINE LIMA/YCIE2</t>
  </si>
  <si>
    <t>MV.WISDOM GLORY/9V8063</t>
  </si>
  <si>
    <t>TB.BINTANG LAUT 165/YD5188-TK.CANDRA 305</t>
  </si>
  <si>
    <t>24.96/91.44</t>
  </si>
  <si>
    <t>184/3145</t>
  </si>
  <si>
    <t>3.5/0.9</t>
  </si>
  <si>
    <t>TB.VICTORY 2405/YDA3840-TK.BAHARI ABADI 3003</t>
  </si>
  <si>
    <t>27/98</t>
  </si>
  <si>
    <t>220/3075</t>
  </si>
  <si>
    <t>3.0/1.0</t>
  </si>
  <si>
    <t>6.9</t>
  </si>
  <si>
    <t>TB.INTAN MEGAH 9/YDA4575-TK.INTAN KELANA 12</t>
  </si>
  <si>
    <t>28/91</t>
  </si>
  <si>
    <t>218/3241</t>
  </si>
  <si>
    <t>MV.FILOTIMO/3EQL</t>
  </si>
  <si>
    <t>7.6</t>
  </si>
  <si>
    <t>TB.TITAN 29/YDA3778-TK.TITAN 30</t>
  </si>
  <si>
    <t>3.5/5.4</t>
  </si>
  <si>
    <t>19.5/62</t>
  </si>
  <si>
    <t>91/1141</t>
  </si>
  <si>
    <t>3.2/3.8</t>
  </si>
  <si>
    <t xml:space="preserve">MV. MSC BREMERHAVEN V/CQSA </t>
  </si>
  <si>
    <t>MT. QUEEN QADARIAH/YDPK2</t>
  </si>
  <si>
    <t>MT.LUCKY STAR 06/XVJH7</t>
  </si>
  <si>
    <t>MV.SEASPAN LINGUE/VRGR3</t>
  </si>
  <si>
    <t>MT.PHILIPPA/HSB7412</t>
  </si>
  <si>
    <t>TB.MARINO 178/YD5159-TK PEGASUS</t>
  </si>
  <si>
    <t>195/3140</t>
  </si>
  <si>
    <t>TB. YANG VITI IX/YDA6694 - TK. TOTO XI</t>
  </si>
  <si>
    <t>27.45/87,78</t>
  </si>
  <si>
    <t>3.2/4,2</t>
  </si>
  <si>
    <t>229/3142</t>
  </si>
  <si>
    <t>MV.GIROLANDO EXPRESS/CQ2022</t>
  </si>
  <si>
    <t>MT. ARAHAN/YDBX3</t>
  </si>
  <si>
    <t>MV.BERLIAN INDAH/YBYK</t>
  </si>
  <si>
    <t>KMP.MITRA NUSANTARA/YHEW</t>
  </si>
  <si>
    <t>MV. OCEAN LION/A8UK7</t>
  </si>
  <si>
    <t>MV. MOUNT HIKURANGI/VRMC8</t>
  </si>
  <si>
    <t>TB. VOYAGER 12 / YDA6962 - TK. AZAMARA 12</t>
  </si>
  <si>
    <t>27/95</t>
  </si>
  <si>
    <t>271/4447</t>
  </si>
  <si>
    <t>2,8/ -</t>
  </si>
  <si>
    <t>MV. ANNA ELISABETH/D5AL2</t>
  </si>
  <si>
    <t>TB. CAVALO MARINHO 08 / YDA3914 - TK. METRO 03</t>
  </si>
  <si>
    <t>41.45/61,45</t>
  </si>
  <si>
    <t>134/1316</t>
  </si>
  <si>
    <t>2.4/4,7</t>
  </si>
  <si>
    <t>TB. GLORY 1 / 9WHX7 - TK. GLORY 2</t>
  </si>
  <si>
    <t>31/100</t>
  </si>
  <si>
    <t>326/3857</t>
  </si>
  <si>
    <t>3,5/0,8</t>
  </si>
  <si>
    <t>BAP</t>
  </si>
  <si>
    <t>MV DHARMA LAUTAN RUBY/YCTL2</t>
  </si>
  <si>
    <t>SPB.TITAN 70/JZHC</t>
  </si>
  <si>
    <t>106.02</t>
  </si>
  <si>
    <t>TB. AUBREY/YDB4293 - TK. LILY</t>
  </si>
  <si>
    <t>26/91</t>
  </si>
  <si>
    <t>TB. INDO POWER 12 / YDC4216 - TK. INDO TRANS 3012</t>
  </si>
  <si>
    <t>23/52</t>
  </si>
  <si>
    <t>3,2/4,27</t>
  </si>
  <si>
    <t>TB. LEO POWER 2211 / YDA 3972 - TK.LEO MARINE 3003</t>
  </si>
  <si>
    <t>28,9/91,3</t>
  </si>
  <si>
    <t>232/3348</t>
  </si>
  <si>
    <t>3,8/5,2</t>
  </si>
  <si>
    <t>ANM</t>
  </si>
  <si>
    <t>TB. PANCARAN 111/YDA6762 - TK. TRANS 1111</t>
  </si>
  <si>
    <t>MV REN JIAN 10/BVJX5</t>
  </si>
  <si>
    <t>TB. TITAN 550 / YDA3995 - TK. TITAN 560</t>
  </si>
  <si>
    <t>TB.MAX 02/YDB3296-MAX 3002</t>
  </si>
  <si>
    <t>25.9/87.78</t>
  </si>
  <si>
    <t>249/3267</t>
  </si>
  <si>
    <t>SPOB.ARGHA I/YCKR2</t>
  </si>
  <si>
    <t>3.50</t>
  </si>
  <si>
    <t>MV. CARAMELLO/DLQL9</t>
  </si>
  <si>
    <t>TB. GLOBAL MANDIRI XXV/ YDB4590 - TK. KAPUAS MAKMUR 2</t>
  </si>
  <si>
    <t>103/2277</t>
  </si>
  <si>
    <t>2,9/3,8</t>
  </si>
  <si>
    <t>ZBS</t>
  </si>
  <si>
    <t>TB. NERA 13/YDB3279</t>
  </si>
  <si>
    <t>TB.HARCO/YDA3164 - TK. PERMATA SUKSES 2001</t>
  </si>
  <si>
    <t>MV.CAPE CROSS/2HCI3</t>
  </si>
  <si>
    <t>MT.MYKONOS/9HA3203</t>
  </si>
  <si>
    <t>MV. DS FAVOUR/3FGE</t>
  </si>
  <si>
    <t>TB. TROIS/YDA4755 - TK. EMERI</t>
  </si>
  <si>
    <t>24,32/87,78</t>
  </si>
  <si>
    <t>217/3245</t>
  </si>
  <si>
    <t>3,8/5,49</t>
  </si>
  <si>
    <t>Total</t>
  </si>
  <si>
    <t>TB. TITAN 21/YD3741 - TK. BINA MARINE 66</t>
  </si>
  <si>
    <t>MV. UNGGUL / POWI</t>
  </si>
  <si>
    <t>SPB. PATRIA ANDROMEDA 1/YBAA2</t>
  </si>
  <si>
    <t>TB.VICTORY 2010/YDB3226-TK.MITRA 3002</t>
  </si>
  <si>
    <t>27/80</t>
  </si>
  <si>
    <t>218/300</t>
  </si>
  <si>
    <t>2/3,2</t>
  </si>
  <si>
    <t>SPOB WHS 2503 P/JZRS</t>
  </si>
  <si>
    <t>MT. BANTRY BAY/9V8278</t>
  </si>
  <si>
    <t>TB NOAH IV/YDA3335 - PSB 3018</t>
  </si>
  <si>
    <t>25,2/91,4</t>
  </si>
  <si>
    <t>236/3420</t>
  </si>
  <si>
    <t>2,0/0,7</t>
  </si>
  <si>
    <t>MV.GLORIEUSE/V7YB7</t>
  </si>
  <si>
    <t>TB EMMA/YDB4352 - TK MADISON</t>
  </si>
  <si>
    <t>26/84</t>
  </si>
  <si>
    <t>3,1/4,5</t>
  </si>
  <si>
    <t>MV. OCEANIC PROGRESS/PLLR</t>
  </si>
  <si>
    <t>KM.ANUGERAH BUANA VII/PMQS</t>
  </si>
  <si>
    <t>SPOB.JEREMY STAR/YB4896</t>
  </si>
  <si>
    <t>TPN</t>
  </si>
  <si>
    <t>MV NAGOYA TOWER/D5DG5</t>
  </si>
  <si>
    <t>MT. GAS PETROL/YDVN2</t>
  </si>
  <si>
    <t>MT.BINTUMEN HIKARI/9V8178</t>
  </si>
  <si>
    <t>99.71</t>
  </si>
  <si>
    <t xml:space="preserve">MT. SOUTHERN HAWK/3FXK2 </t>
  </si>
  <si>
    <t>MV.GULLWING/9HA3199</t>
  </si>
  <si>
    <t>MV. ALISIOS/3AT4</t>
  </si>
  <si>
    <t>28/-</t>
  </si>
  <si>
    <t>TB. TERUS DAYA 33/YD3720 - TK. MARCOPOLLO 318</t>
  </si>
  <si>
    <t>115/2008</t>
  </si>
  <si>
    <t>MV. NANIWA/3FWT6</t>
  </si>
  <si>
    <t>TB.SUMBER LIMA/YDB4110-TK.DUTA BAHARI</t>
  </si>
  <si>
    <t>21,6/52</t>
  </si>
  <si>
    <t>94/889</t>
  </si>
  <si>
    <t>2,4/3,1</t>
  </si>
  <si>
    <t>27/94,5</t>
  </si>
  <si>
    <t>TB. JOHAN JAYA 137/YDB4546 - TK. KAPUAS JAYA 318</t>
  </si>
  <si>
    <t>TB. JOHAN JAYA 127/YDB4375 - TK. KAPUAS JAYA 3112</t>
  </si>
  <si>
    <t>TB.SINAR MARINE 05/YDC4278 - TK.PMT IV-915</t>
  </si>
  <si>
    <t>21,6/80</t>
  </si>
  <si>
    <t>110/2331</t>
  </si>
  <si>
    <t>TB. AQUARIUS 2405 / YDB3043 - TK. MEGANTA 3007</t>
  </si>
  <si>
    <t>220/3418</t>
  </si>
  <si>
    <t>1,0/0,5</t>
  </si>
  <si>
    <t>TB.MOMENTUM 08/YDA3375-TK.MOMENTUM 3008</t>
  </si>
  <si>
    <t>ALT</t>
  </si>
  <si>
    <t>231/3231</t>
  </si>
  <si>
    <t>2.2/5.5</t>
  </si>
  <si>
    <t>88.87</t>
  </si>
  <si>
    <t>MV TS INDEX/V7QU5</t>
  </si>
  <si>
    <t>6.84</t>
  </si>
  <si>
    <t>MT WENZHOU STAR / 3E2578</t>
  </si>
  <si>
    <t>MT ECO JOSHUA PARK/V7A2536</t>
  </si>
  <si>
    <t>183.06</t>
  </si>
  <si>
    <t>MV. ARCOLA/5LDJ5</t>
  </si>
  <si>
    <t>MV. LIGNUM WEB/3E4742</t>
  </si>
  <si>
    <t>TB JOHAN JAYA 156/YDB3169 - TK KAPUAS JAYA 3001</t>
  </si>
  <si>
    <t>25,55/87,78</t>
  </si>
  <si>
    <t>218/3537</t>
  </si>
  <si>
    <t>3,3/0,7</t>
  </si>
  <si>
    <t xml:space="preserve">TB ALFIAN 4/YDC4563 - TK NADIA 5 </t>
  </si>
  <si>
    <t>26,25/87,78</t>
  </si>
  <si>
    <t>194/3254</t>
  </si>
  <si>
    <t>TB JOHAN JAYA 118/YD3631 - TK KAPUAS JAYA 315</t>
  </si>
  <si>
    <t>29/94,5</t>
  </si>
  <si>
    <t>216/3632</t>
  </si>
  <si>
    <t>3,2/5</t>
  </si>
  <si>
    <t>TB KARYA TANGGUH 2207 / YDC4157 - TK DAYA UTAMA 07</t>
  </si>
  <si>
    <t>118/2150</t>
  </si>
  <si>
    <t>3,2/3,9</t>
  </si>
  <si>
    <t>MT. EMMA GRACE/V7A5317</t>
  </si>
  <si>
    <t>TB. MARINA 2231/YDB3295 - TK.MARINE POWER 3045</t>
  </si>
  <si>
    <t>AMP</t>
  </si>
  <si>
    <t>TB. JOHAN JAYA 169/YDC3603 - TK KAPUAS JAYA 365</t>
  </si>
  <si>
    <t>222/4489</t>
  </si>
  <si>
    <t>3,9/5,4</t>
  </si>
  <si>
    <t xml:space="preserve">TB.PBM 989 2019 / TK CAKRAWALA 8 </t>
  </si>
  <si>
    <t>26/96</t>
  </si>
  <si>
    <t>201/4338</t>
  </si>
  <si>
    <t>3,6/6</t>
  </si>
  <si>
    <t>MV.SKYHIGH SW/3FAT8</t>
  </si>
  <si>
    <t xml:space="preserve">MV MD SKY/3WAR9 </t>
  </si>
  <si>
    <t>SSL</t>
  </si>
  <si>
    <t>MT. CHEM SINYOO/8PRO3</t>
  </si>
  <si>
    <t>MT. GREEN GLOBAL/POZV</t>
  </si>
  <si>
    <t>TB. TERATAI 1600 1/YDC3406 - TK. TERATAI 3001</t>
  </si>
  <si>
    <t>222/2936</t>
  </si>
  <si>
    <t>2,5/4,8</t>
  </si>
  <si>
    <t>MT.HAFNIA AXINITE/9V8431</t>
  </si>
  <si>
    <t>TB. LL COBRA 02/YDA3535 - TK. LL 2523</t>
  </si>
  <si>
    <t>20,03/73,15</t>
  </si>
  <si>
    <t>131/1975</t>
  </si>
  <si>
    <t xml:space="preserve">MT. TASIK NAMBUS/YDFJ </t>
  </si>
  <si>
    <t>TB. HIGHLINE 61/9WEV9</t>
  </si>
  <si>
    <t>MV. BROAD OCEAN I / 3E4044</t>
  </si>
  <si>
    <t>188/3145</t>
  </si>
  <si>
    <t>TB.ENTEBE STAR 57 / YDA6524 - TK.FINANCIA 95</t>
  </si>
  <si>
    <t>MT. M PATRICIA/JZAD</t>
  </si>
  <si>
    <t>MT, SEROJA XXIII / YDJC2</t>
  </si>
  <si>
    <t>TB. SRIKANDI BARUNA 2001 / YDB4812 - TK. BARUNA POWER 3301</t>
  </si>
  <si>
    <t>29/67</t>
  </si>
  <si>
    <t>207/4063</t>
  </si>
  <si>
    <t>TB.SRIWIJAYA 02/YDA3174-TK.MUSI 102</t>
  </si>
  <si>
    <t>236/3075</t>
  </si>
  <si>
    <t>MT. PIS MAHAKAM/YDDP3</t>
  </si>
  <si>
    <t>MT.SUMMER PALACE/YCAR2</t>
  </si>
  <si>
    <t>MT.M PATRICIA/JZAD</t>
  </si>
  <si>
    <t>MV.GALLOWAY EXPRESS/CRZY</t>
  </si>
  <si>
    <t>MV NAVIOS AMBER/3FQB6</t>
  </si>
  <si>
    <t>TB.MAX 05/YDC3425-TK.MAX 8005</t>
  </si>
  <si>
    <t>3/3,4</t>
  </si>
  <si>
    <t>TB. PANCARAN 311/YDA6841 - TK. PST 315</t>
  </si>
  <si>
    <t>207/4699</t>
  </si>
  <si>
    <t>2,8/0,65</t>
  </si>
  <si>
    <t>TB. KARYA TANGGUH 2308/YDC4285 - TK. DAYA UTAMA 08</t>
  </si>
  <si>
    <t>23/76</t>
  </si>
  <si>
    <t>153/2154</t>
  </si>
  <si>
    <t>2,2/0,9</t>
  </si>
  <si>
    <t>MV. MAXIMUS I/YDHE2</t>
  </si>
  <si>
    <t>KLM.SOSIAL INDAH/YC5703</t>
  </si>
  <si>
    <t>MV.PERKASA/PMUY</t>
  </si>
  <si>
    <t>TB. WAHANA I/YD3660 - TK. DAREN II</t>
  </si>
  <si>
    <t>26/73</t>
  </si>
  <si>
    <t>159/2029</t>
  </si>
  <si>
    <t>4,8/3,2</t>
  </si>
  <si>
    <t>MV. JOSCO TAIZHOU/VRAU4</t>
  </si>
  <si>
    <t>MV. CLIPPER TERESA/V7A5948</t>
  </si>
  <si>
    <t>BLSS</t>
  </si>
  <si>
    <t>MT. NAVE SEXTANS/3FOJ3</t>
  </si>
  <si>
    <t>TB. ELVIO / YDB4371 - TK. ELORA</t>
  </si>
  <si>
    <t>19,58/52,67</t>
  </si>
  <si>
    <t>103/1151</t>
  </si>
  <si>
    <t>31,/2,5</t>
  </si>
  <si>
    <t>TB. BINTANG LAUT 166/YD5189 - TK CANDRA 306</t>
  </si>
  <si>
    <t>MT.MAHADAH SILVER/V7NT3</t>
  </si>
  <si>
    <t>MV.CEBIHAN  /CQAP7</t>
  </si>
  <si>
    <t>TB. MAX 09 / YDC3653 - TK. MAX 8709</t>
  </si>
  <si>
    <t>29/91,44</t>
  </si>
  <si>
    <t>2,8/0,6</t>
  </si>
  <si>
    <t>BC PIONER 88/YEME</t>
  </si>
  <si>
    <t>MV, NOSHIMA/3FXN4</t>
  </si>
  <si>
    <t>MT. STRINDA/LAOU8</t>
  </si>
  <si>
    <t>MT. BRO COMBO/YBTS2</t>
  </si>
  <si>
    <t>MV.CEPAT/JZDX</t>
  </si>
  <si>
    <t>MV BSG BIMINI/5LCB2</t>
  </si>
  <si>
    <t>TB. TOL LANDAK VII/YDC4464 - TK. ETE 6</t>
  </si>
  <si>
    <t>MV.SPRING WEALTH /VRJE9</t>
  </si>
  <si>
    <t>TEJM</t>
  </si>
  <si>
    <t>MV. DEWI SHINTA MANGGALA/YCRK2</t>
  </si>
  <si>
    <t>TB FERY 03/YD6489 - TK ANGGADA 138</t>
  </si>
  <si>
    <t>19/62</t>
  </si>
  <si>
    <t>81/1390</t>
  </si>
  <si>
    <t>2,4/3,9</t>
  </si>
  <si>
    <t>MV. MANDARIN SINGAPORE/D5VJ2</t>
  </si>
  <si>
    <t>TB. PBM 01 2019/YDB6837 - TK. CAKRAWALA 6 2022</t>
  </si>
  <si>
    <t>26,3/96,5</t>
  </si>
  <si>
    <t>3,8/5,3</t>
  </si>
  <si>
    <t xml:space="preserve">MV. BISON EXPRESS/LXBJ </t>
  </si>
  <si>
    <t>MT. STENA PRO PATRIA / 5BRX5</t>
  </si>
  <si>
    <t>MT.GB VENTURE/9V7768</t>
  </si>
  <si>
    <t>TB.PANCARAN 312/YDA3304 - TK.PST 312</t>
  </si>
  <si>
    <t>27,98/91,44</t>
  </si>
  <si>
    <t>238/3034</t>
  </si>
  <si>
    <t>4,16/5</t>
  </si>
  <si>
    <t>TB. RP 2015/YBZG2 - TK . OB DESA SOREANG</t>
  </si>
  <si>
    <t>SPOB DIMAS PUTRA VII/YDQM2</t>
  </si>
  <si>
    <t xml:space="preserve">TP </t>
  </si>
  <si>
    <t>KM.KIN/JZMB</t>
  </si>
  <si>
    <t>24/</t>
  </si>
  <si>
    <t>125/</t>
  </si>
  <si>
    <t>TB. TIRTA NIAGA V/YD 4775 - TK. USJ II</t>
  </si>
  <si>
    <t>MT.DANUM 23/9WGM8</t>
  </si>
  <si>
    <t>MV. KITTY TIDE/3EET6</t>
  </si>
  <si>
    <t>MV.MANDIRI 18/PMIQ</t>
  </si>
  <si>
    <t>MV. GUDALI EXSPRESS/CQ2025</t>
  </si>
  <si>
    <t>MV. GREYMAN EXSPRESS/CQ2024</t>
  </si>
  <si>
    <t>MT. SARANA PETRO 2/YB4693</t>
  </si>
  <si>
    <t>MV. JIN JUN/VRFY4</t>
  </si>
  <si>
    <t>SPOB LIMA 999/YB6596</t>
  </si>
  <si>
    <t>PAS</t>
  </si>
  <si>
    <t>MT. LIVARDEN/LAQD8</t>
  </si>
  <si>
    <t>MV. SEASPAN LUMACO/VRFB5</t>
  </si>
  <si>
    <t>MV. CHAILEASE BRIGHT / 5LDL6</t>
  </si>
  <si>
    <t>MV.AFRICA BAZA/C6BW5</t>
  </si>
  <si>
    <t>TB.PANCARAN 512/YDA3303 - TK. PST 215</t>
  </si>
  <si>
    <t>27,9/96,56</t>
  </si>
  <si>
    <t>238/4334</t>
  </si>
  <si>
    <t>TB. TRI KHARISMA I/TDB4487 - TK. OB MANOGION</t>
  </si>
  <si>
    <t>167/2220</t>
  </si>
  <si>
    <t>3.8/3,2</t>
  </si>
  <si>
    <t>MT.SC QINGDAO/VREJ9</t>
  </si>
  <si>
    <t>MV. WGM 9501/YDVP2</t>
  </si>
  <si>
    <t>MV. SEJAHTERA 37/YDXY2</t>
  </si>
  <si>
    <t>MV. ALI M/E5U3285</t>
  </si>
  <si>
    <t>TB.JOHAN JAYA 117/YD3630-TK.KAPUAS JAYA 365</t>
  </si>
  <si>
    <t>MV. NORD SATURN / 9V6724</t>
  </si>
  <si>
    <t>TB. TOB 08/YDA6604 - TK. MANA LINE 809</t>
  </si>
  <si>
    <t>MV. BAY PEACE/32467</t>
  </si>
  <si>
    <t>TB.SATRIA HANDAL /YDB4742 - TK ARTA JAYA</t>
  </si>
  <si>
    <t>23/67</t>
  </si>
  <si>
    <t>99/1455</t>
  </si>
  <si>
    <t>2,5/1,2</t>
  </si>
  <si>
    <t>MV. JIN BI/VRUM3</t>
  </si>
  <si>
    <t>MV. AFRICAN LAPWING/C6GQ4</t>
  </si>
  <si>
    <t>MT. HIGH CHALLENGE / D5LX9</t>
  </si>
  <si>
    <t xml:space="preserve">MV. JIN HANG FU ZHAN/BQOP </t>
  </si>
  <si>
    <t>TB. TITAN 13/YDA3617 - TK. NAUTICA 21</t>
  </si>
  <si>
    <t>39/87</t>
  </si>
  <si>
    <t>222/3870</t>
  </si>
  <si>
    <t>KM.SEJAHTERA 18/YBWB</t>
  </si>
  <si>
    <t>TB. JOHAN JAYA 155 / YDC4255 - TK. KAPUAS JAYA 333</t>
  </si>
  <si>
    <t>TB. JOHAN JAYA 109 / YD3455 - TK. KAPUAS JAYA 3117</t>
  </si>
  <si>
    <t>TB. LL KARIKA NATASYA/YDWZ2 - TK. TRANS MEGA 777</t>
  </si>
  <si>
    <t>29,4/87,78</t>
  </si>
  <si>
    <t>400/3773</t>
  </si>
  <si>
    <t>3,7/0,6</t>
  </si>
  <si>
    <t>3/1</t>
  </si>
  <si>
    <t>KM.ISA VICTORY/JZJX</t>
  </si>
  <si>
    <t>GBL</t>
  </si>
  <si>
    <t xml:space="preserve">SPOB LUCINDA / JZAB </t>
  </si>
  <si>
    <t>MV. HOANG PHOONG LUCKY/3WFG</t>
  </si>
  <si>
    <t xml:space="preserve">MV. AURORA SB/5BXQ2 </t>
  </si>
  <si>
    <t>28/80</t>
  </si>
  <si>
    <t>208/3145</t>
  </si>
  <si>
    <t>3,5/0,76</t>
  </si>
  <si>
    <t>MV. KOTA LAGU/9V758</t>
  </si>
  <si>
    <t>KM. ANUGRAH BUANA VI/PMIE</t>
  </si>
  <si>
    <t>SPOB. BINTANG CAHAYA/YDE3</t>
  </si>
  <si>
    <t>27/73</t>
  </si>
  <si>
    <t>153/3243</t>
  </si>
  <si>
    <t>3,0/4,0</t>
  </si>
  <si>
    <t>TB.MAHESA 101/YDA3788/TK.ALIKA 102</t>
  </si>
  <si>
    <t>28/91,5</t>
  </si>
  <si>
    <t>262/3146</t>
  </si>
  <si>
    <t>4,12/5,5</t>
  </si>
  <si>
    <t>MT.PVT ELENA/3E2485</t>
  </si>
  <si>
    <t>MV. SURYA PIONEER/JZAC</t>
  </si>
  <si>
    <t>MV.SEA CORAL/3FPV9</t>
  </si>
  <si>
    <t>MV. TFR KIRKENES/V7MT7</t>
  </si>
  <si>
    <t>MT.ZHONG TE YUN 9/BOWV9</t>
  </si>
  <si>
    <t>MV.SILVER STAR/9LU2801</t>
  </si>
  <si>
    <t>TB.YANG VITI I/YD6317-TK.TOTO 19</t>
  </si>
  <si>
    <t>SRS</t>
  </si>
  <si>
    <t>TB. JOHAN JAYA 105 / YDA4250 - TK. KAPUAS JAYA 3018</t>
  </si>
  <si>
    <t>30,10/91</t>
  </si>
  <si>
    <t>266/3870</t>
  </si>
  <si>
    <t>MT. KYODO/JZRU</t>
  </si>
  <si>
    <t>MT. RAFAEL/YGYI</t>
  </si>
  <si>
    <t>MT. MONA/HZKV</t>
  </si>
  <si>
    <t>MV. SYNERGY BUSAN/V7A2725</t>
  </si>
  <si>
    <t>TB. JOHAN JAYA 135 / YDB4452 - TK. KAPUAS JAYA 332</t>
  </si>
  <si>
    <t>TB. LL HIU MACAN 02/YDA3880 - TK. LL311</t>
  </si>
  <si>
    <t>22/87</t>
  </si>
  <si>
    <t>132/3147</t>
  </si>
  <si>
    <t>PSTL</t>
  </si>
  <si>
    <t>MV. ROSEWOOD/V7A6210</t>
  </si>
  <si>
    <t>222/3420</t>
  </si>
  <si>
    <t>2,9/3,0</t>
  </si>
  <si>
    <t>TB LINTON 898 2019/YDB6852 - BG CAKRAWALA V 2022</t>
  </si>
  <si>
    <t>26,34/100,58</t>
  </si>
  <si>
    <t>2,8/0,80</t>
  </si>
  <si>
    <t>233/3773</t>
  </si>
  <si>
    <t>BAHTERA ADHI GUNA</t>
  </si>
  <si>
    <t>TB.TRUST 88/YDA4688 - TK. TRUST MEGA 555</t>
  </si>
  <si>
    <t>MV.LINDA OLDENDORFF/CQFH</t>
  </si>
  <si>
    <t>TB DORADO LAUT/YDA3311-TK.SM PACIFIC 212</t>
  </si>
  <si>
    <t>26.63/79.1</t>
  </si>
  <si>
    <t>3.6/4.4</t>
  </si>
  <si>
    <t>MV. QINGDOA STAR/V7A7492</t>
  </si>
  <si>
    <t xml:space="preserve">MT. SW CAP FERRAT I/3FZK6 </t>
  </si>
  <si>
    <t>TB. MELAWI UTAMA I/YDC4645 - TK. SAHABAT KAPUAS MANDIRI XXII</t>
  </si>
  <si>
    <t>20/60</t>
  </si>
  <si>
    <t>49/849</t>
  </si>
  <si>
    <t>2,8/3,3</t>
  </si>
  <si>
    <t>TB KENDRIC STAR 08/YDC3646 - TK SILVIA STAR 10</t>
  </si>
  <si>
    <t>207/3085</t>
  </si>
  <si>
    <t>4,0/6,0</t>
  </si>
  <si>
    <t>TB. BBS 01 / YDB6074 - TK. SENTOSA 3001</t>
  </si>
  <si>
    <t>23,36/78,78</t>
  </si>
  <si>
    <t>167/3130</t>
  </si>
  <si>
    <t>3,3/5,0</t>
  </si>
  <si>
    <t>MT..ARDMORE CHEROKEE/V7HR9</t>
  </si>
  <si>
    <t>TB. SRIKANDI BARUNA 2203/YDA3776 - TK. BARUNA POWER 3006</t>
  </si>
  <si>
    <t>SPOB JUNEYAO MARU 01/POUC</t>
  </si>
  <si>
    <t>TB. LEGASEA 3/YDC3641 - TK. LEGASEA 3002</t>
  </si>
  <si>
    <t>29,5/85</t>
  </si>
  <si>
    <t>243/3877</t>
  </si>
  <si>
    <t>3,2/0,8</t>
  </si>
  <si>
    <t>TB. KT BIMA 02/YEBA</t>
  </si>
  <si>
    <t>PELINDO</t>
  </si>
  <si>
    <t>BKJ</t>
  </si>
  <si>
    <t>TB. PANCARAN XLV 1115 / YDA3515 - TK. PMT XLV 1115</t>
  </si>
  <si>
    <t>23/80</t>
  </si>
  <si>
    <t>141/2170</t>
  </si>
  <si>
    <t>2,8/4,5</t>
  </si>
  <si>
    <t xml:space="preserve">MV. RUI FU BANG/5LGJ4 </t>
  </si>
  <si>
    <t>TB.WAHANA 2009/YDC3496-TK.BSP 3008</t>
  </si>
  <si>
    <t>NIL</t>
  </si>
  <si>
    <t>TB.JOHAN JAYA 171/YDC3624 - TK.KAPUAS JAYA 3015</t>
  </si>
  <si>
    <t>27/91,44</t>
  </si>
  <si>
    <t>222/3877</t>
  </si>
  <si>
    <t>MV.MSC OLIA/D5IR3</t>
  </si>
  <si>
    <t>KLM. HATI M BERSAMA/YC5892</t>
  </si>
  <si>
    <t>TB. TITAN 25/YDA3779 - TK. TITAN 26</t>
  </si>
  <si>
    <t>222/3118</t>
  </si>
  <si>
    <t>TB. KALUGA LAUT / YDA3312 - TK. SM KENCANA 228</t>
  </si>
  <si>
    <t>TB.NELLY 39/YDA6331-TK.MADISON</t>
  </si>
  <si>
    <t>24/80</t>
  </si>
  <si>
    <t>154/3145</t>
  </si>
  <si>
    <t>TB GOLDEN MILENIUM V  - TK. MILENIUM MUTIARA</t>
  </si>
  <si>
    <t>27/79</t>
  </si>
  <si>
    <t>207/2957</t>
  </si>
  <si>
    <t>3,2/4,6</t>
  </si>
  <si>
    <t>29.15/87.84</t>
  </si>
  <si>
    <t>219/3159</t>
  </si>
  <si>
    <t>2,8/4,7</t>
  </si>
  <si>
    <t>TB. KAYU MANIS XX/YDC433 - BG BHS 1811</t>
  </si>
  <si>
    <t>TB. TITAN 43 / YDB3050 - TK. TITAN 50</t>
  </si>
  <si>
    <t>TB. INDO POWER 10 / YDC4130 - TK. INDO TRANS 3006</t>
  </si>
  <si>
    <t>24,15/87,86</t>
  </si>
  <si>
    <t>204/3276</t>
  </si>
  <si>
    <t>3,8/5,8</t>
  </si>
  <si>
    <t>MV. SUNISA NAREE/HSLS</t>
  </si>
  <si>
    <t>MV. QI FAN LUN / BQQG</t>
  </si>
  <si>
    <t>23/65</t>
  </si>
  <si>
    <t>142/1141</t>
  </si>
  <si>
    <t>2,6/3,0</t>
  </si>
  <si>
    <t xml:space="preserve">TB. YANG VITI VIII/YD6467 - TK. TOTO VIII </t>
  </si>
  <si>
    <t>21.5/96,56</t>
  </si>
  <si>
    <t>137/5135</t>
  </si>
  <si>
    <t>3,3/6,4</t>
  </si>
  <si>
    <t>MV. EFFIE / V7A5673</t>
  </si>
  <si>
    <t xml:space="preserve">LCT.BSP XIV/JZYE </t>
  </si>
  <si>
    <t>BAHTERA KENCANA JAYA</t>
  </si>
  <si>
    <t>KM.INTAN SEMUDERA 6/PMPC</t>
  </si>
  <si>
    <t>TRI ELANG INDO MARITIM</t>
  </si>
  <si>
    <t>PSEP</t>
  </si>
  <si>
    <t>ARMADA LINTAS BARUNA</t>
  </si>
  <si>
    <t>GUNA BERJAYA UTAMA</t>
  </si>
  <si>
    <t>PSSL</t>
  </si>
  <si>
    <t xml:space="preserve">PELAYARAN SEMESTA SEJAHTERA LESTARI </t>
  </si>
  <si>
    <t xml:space="preserve">MT. EASLINE ZHANGJIAGANG/3EZF2 </t>
  </si>
  <si>
    <t>MV. HPC LUCKY / 3WJY9</t>
  </si>
  <si>
    <t>MT. KUANG / YCMJ</t>
  </si>
  <si>
    <t>MV.LISA/D5UWB</t>
  </si>
  <si>
    <t>KLM BERKAT ANUGERAH ILLAHI</t>
  </si>
  <si>
    <t>MT. SILVER EBURNA/V7QV3</t>
  </si>
  <si>
    <t>TB.KGM GOLF/YDA3852-TK.MAKMUR ABADI XII</t>
  </si>
  <si>
    <t>28,59/67</t>
  </si>
  <si>
    <t>92/1720</t>
  </si>
  <si>
    <t>2,8/3</t>
  </si>
  <si>
    <t>19/52,6</t>
  </si>
  <si>
    <t>93/883</t>
  </si>
  <si>
    <t>3,0/1,3</t>
  </si>
  <si>
    <t>TB. SATRIA UTAMA / YDA4377 - TK. MALIAN LESTARI</t>
  </si>
  <si>
    <t xml:space="preserve">MT. BUANA MAS PALMYNDO/POJK </t>
  </si>
  <si>
    <t>MV. BISTARI 8 / YDBY2</t>
  </si>
  <si>
    <t>MV. BELLA ANN/DSXA3</t>
  </si>
  <si>
    <t>MT. ARGHA 8/YCXW2</t>
  </si>
  <si>
    <t>MT. ARREBOL/5LNL3</t>
  </si>
  <si>
    <t>TB. GOLDEN MILLENNIUM II/3655 - TK. MILLENNIUM STAR</t>
  </si>
  <si>
    <t>MV AELIAN BREEZE/V7A4627</t>
  </si>
  <si>
    <t>14.0</t>
  </si>
  <si>
    <t>MV. DUHALLOW/2HGP3</t>
  </si>
  <si>
    <t>MV. SHUNXIANG/3FYP2</t>
  </si>
  <si>
    <t>MV.SAWAH LUNTO/JZNM</t>
  </si>
  <si>
    <t>MV. MAERSK BINTULU/9V6003</t>
  </si>
  <si>
    <t>MV. XT PEACE/5LOF8</t>
  </si>
  <si>
    <t>TB.JOHAN JAYA 168/YDC3587 - TK.KAPUAS JAYA 3003</t>
  </si>
  <si>
    <t>222/3418</t>
  </si>
  <si>
    <t>3,6/5,1</t>
  </si>
  <si>
    <t>MV. SAMUDRA SAKTI V/YDRFZ</t>
  </si>
  <si>
    <t>TB. MITRA 219/YDC4167 - TK. SEJATERA 12</t>
  </si>
  <si>
    <t>22,12/2,28</t>
  </si>
  <si>
    <t>139/2150</t>
  </si>
  <si>
    <t>2.0/3.0</t>
  </si>
  <si>
    <t>MV. AGP KARTINI III/YDHN3</t>
  </si>
  <si>
    <t>TB ZUNGARO LAUT/YDA3444 - TK SM MAJESTI 218</t>
  </si>
  <si>
    <t>25,5/75,01</t>
  </si>
  <si>
    <t>209/2889</t>
  </si>
  <si>
    <t>3,2/4,2</t>
  </si>
  <si>
    <t>MT.MULIA KARSA 2/PNNS</t>
  </si>
  <si>
    <t>88.9</t>
  </si>
  <si>
    <t>TB.YANGVITTI XIV/YD6751-TK. TOTO XV</t>
  </si>
  <si>
    <t>BKD</t>
  </si>
  <si>
    <t>SPOB. SUKSES BERSAMA 18/YETU</t>
  </si>
  <si>
    <t>TB.SEREIA 71/YDC3756 - TK ASERIA 11</t>
  </si>
  <si>
    <t>87/97</t>
  </si>
  <si>
    <t>245/3889</t>
  </si>
  <si>
    <t>MV. SAMUDERRA MAKMUR 06 / YDFI3</t>
  </si>
  <si>
    <t>TB. AS JAYA 6/YDB4735 - TK. AS GLORY 13</t>
  </si>
  <si>
    <t>26/81,6</t>
  </si>
  <si>
    <t>3/4,2</t>
  </si>
  <si>
    <t xml:space="preserve">KM.SANEI/JZHG </t>
  </si>
  <si>
    <t>KLM . RAHIM BAHARI/YC4480</t>
  </si>
  <si>
    <t>MV. MSC CHULAI III / 3FTZ2</t>
  </si>
  <si>
    <t xml:space="preserve">MV. KYPROS SPIRIT/5BLC4 </t>
  </si>
  <si>
    <t>TB VICTORY 2406/YDA3937 - TK. BSB 3018</t>
  </si>
  <si>
    <t>MV. ECO/V7AS2</t>
  </si>
  <si>
    <t>TB. UNITED XI/YD3753 - TK. PSB 3015</t>
  </si>
  <si>
    <t>PSM</t>
  </si>
  <si>
    <t>27,26/78,87</t>
  </si>
  <si>
    <t>236/3418</t>
  </si>
  <si>
    <t>MT. SHANJAYA / YEVL</t>
  </si>
  <si>
    <t>MV.NORDLEOPARD/5BEMA</t>
  </si>
  <si>
    <t>MV. OBE DINARES/8PAS9</t>
  </si>
  <si>
    <t>MT. SILKROAD 06 / YDKQ2</t>
  </si>
  <si>
    <t>MV.ILLANNUR/POIP</t>
  </si>
  <si>
    <t>26/81</t>
  </si>
  <si>
    <t>219/3254</t>
  </si>
  <si>
    <t>2,80/4,65</t>
  </si>
  <si>
    <t>BATU BARA</t>
  </si>
  <si>
    <t>TB. VICTORY 2012/YDB3237-TK.MEGANTA 3009</t>
  </si>
  <si>
    <t>TB.MAX 07 - TK.MAX 8007</t>
  </si>
  <si>
    <t>4,20/5,89</t>
  </si>
  <si>
    <t>TB.GONAYA XXII/YDC6235-TK.MJL 335</t>
  </si>
  <si>
    <t>29,5/96</t>
  </si>
  <si>
    <t>238/4347</t>
  </si>
  <si>
    <t>MT. GERALDINE/PORK</t>
  </si>
  <si>
    <t>TB TITAN 19/YDA3692 - TK TITAN 20</t>
  </si>
  <si>
    <t>3,1/5,4</t>
  </si>
  <si>
    <t>TB.JOHAN JAYA 108/YD3454 - TK.KAPUAS JAYA 317</t>
  </si>
  <si>
    <t>MV.SHARDANA/3E2370</t>
  </si>
  <si>
    <t>MV.CL DIYIN HE/D5WE3</t>
  </si>
  <si>
    <t>MV.LOWLAND ANGEL/D5TG5</t>
  </si>
  <si>
    <t>MV.BELKNIGHT/LANT8</t>
  </si>
  <si>
    <t>MT. FMT GUMULDUR/9HA2097</t>
  </si>
  <si>
    <t>MV.GLOUCESTER EXPRESS/CQ2023</t>
  </si>
  <si>
    <t>TB. CITRA BAHARI XVII/YD4468-TK.CIPTA MANDIRI III</t>
  </si>
  <si>
    <t>19,64/73,12</t>
  </si>
  <si>
    <t>95/1790</t>
  </si>
  <si>
    <t>CPO</t>
  </si>
  <si>
    <t>MV. BWT CARGO 09/YDEF3</t>
  </si>
  <si>
    <t>BUNGKIL</t>
  </si>
  <si>
    <t>TB.SEREIA 69/YDC3567-TK.SEGARA 60</t>
  </si>
  <si>
    <t>24,97/92,44</t>
  </si>
  <si>
    <t>207/3889</t>
  </si>
  <si>
    <t>4,0/4,93</t>
  </si>
  <si>
    <t>TB.SRIKANDI BARUNA 2201/YDA3797-TK.BARUNA POWER 3004</t>
  </si>
  <si>
    <t>232/3350</t>
  </si>
  <si>
    <t>TB.ASP 19/YD4895-TK.PERSADA 3009</t>
  </si>
  <si>
    <t>266/3117</t>
  </si>
  <si>
    <t>GIPSUN</t>
  </si>
  <si>
    <t>TB. KARYA MAKMUR ABADI IV/YDC4341 - TB. MAKMUR ABADI 8</t>
  </si>
  <si>
    <t>19,08/52,67</t>
  </si>
  <si>
    <t>52/894</t>
  </si>
  <si>
    <t>TB. ALPINE MARINE 21/YDA6449 - TB. TITAN 28</t>
  </si>
  <si>
    <t>29/91,40</t>
  </si>
  <si>
    <t>286/3031</t>
  </si>
  <si>
    <t>0,80/0,70</t>
  </si>
  <si>
    <t xml:space="preserve">SPOB SEROJA 888/YDZG </t>
  </si>
  <si>
    <t>TB. MEGA 09/YDB4978 - TK. MAKMUR ABADI 18</t>
  </si>
  <si>
    <t>56/860</t>
  </si>
  <si>
    <t>MV.EVER GRACE/C6BM6</t>
  </si>
  <si>
    <t>TB. KBS 108 / YDA6467 - TK. CBS 88</t>
  </si>
  <si>
    <t>220/3107</t>
  </si>
  <si>
    <t>MV. VENUS HISTORY/5BKT3</t>
  </si>
  <si>
    <t>TB. UNITED 2419 / YDB3148 - TK. MEGANTA 3009</t>
  </si>
  <si>
    <t>3,4/0,8</t>
  </si>
  <si>
    <t>326/3680</t>
  </si>
  <si>
    <t>KMP AMADEA/YCYY2</t>
  </si>
  <si>
    <t>MT. JENGGALA BANGO/YDGE3</t>
  </si>
  <si>
    <t>KMP.ALS ELVINA/YBWT2</t>
  </si>
  <si>
    <t xml:space="preserve">KM ARTA MULIA/YHVI </t>
  </si>
  <si>
    <t>TB. KARYA PACIFIC 2219/YDB2366 - TK. PACIFIC STAR 8603</t>
  </si>
  <si>
    <t>207/3509</t>
  </si>
  <si>
    <t>MT. AUGENSTERN/5LNL4</t>
  </si>
  <si>
    <t>SPOB ANUGRAH 5/YFVJ</t>
  </si>
  <si>
    <t>MV. ELITE STAR/3E2098</t>
  </si>
  <si>
    <t>TB. ROYAL PALMA 17/YDA3236 - TK. ROYALPALMA XL</t>
  </si>
  <si>
    <t>21/79</t>
  </si>
  <si>
    <t>153/2832</t>
  </si>
  <si>
    <t>MV. BLUE ALEXANDRA/V7A4707</t>
  </si>
  <si>
    <t>TB. FALUTRA 01/YDC3806 - TK. FALUTRA 3001</t>
  </si>
  <si>
    <t>207/3099</t>
  </si>
  <si>
    <t>TB. LEGASEA 01 / YDC4448 - TK. LEGASEA 3001</t>
  </si>
  <si>
    <t>TB. JOHAN JAYA 170/YDC3600 -TK. KAPUAS JAYA 3012</t>
  </si>
  <si>
    <t>25/91</t>
  </si>
  <si>
    <t>233/3876</t>
  </si>
  <si>
    <t>KLM. HOSANA/YC4499</t>
  </si>
  <si>
    <t>TB.MITRA 216/YDB4541 - TK SEJAHTERA D21</t>
  </si>
  <si>
    <t>21/77</t>
  </si>
  <si>
    <t>140/2384</t>
  </si>
  <si>
    <t>24/91</t>
  </si>
  <si>
    <t>184/3031</t>
  </si>
  <si>
    <t>3,0/4,4</t>
  </si>
  <si>
    <t>KM.TAESEI/PLGG</t>
  </si>
  <si>
    <t>MT. CHEM GALLIUM/D5TK4</t>
  </si>
  <si>
    <t>TB. MARINA 2218 / YDC4122 - TK MARINE POWER 3031</t>
  </si>
  <si>
    <t>322/3346</t>
  </si>
  <si>
    <t>2,7/4,3</t>
  </si>
  <si>
    <t>MV.KENZEN/VRUA9</t>
  </si>
  <si>
    <t>TB. VOYAGER 17 / YDCA434 - TK. AZAMARA 23</t>
  </si>
  <si>
    <t>30/90</t>
  </si>
  <si>
    <t>283/4170</t>
  </si>
  <si>
    <t>3,0/0,9</t>
  </si>
  <si>
    <t xml:space="preserve">KM. SEJAHTERA 21/PMRH </t>
  </si>
  <si>
    <t>TB. ALPINE MARINE 13/YDA6444 - TB. NAUTICA 13</t>
  </si>
  <si>
    <t>231/3025</t>
  </si>
  <si>
    <t>4,1/5,4</t>
  </si>
  <si>
    <t>TB SRIKANDI BARUNA 2205/YDC4678 - TK BARUNA POWER 3304</t>
  </si>
  <si>
    <t>271/4258</t>
  </si>
  <si>
    <t>TB. SAHABAT KAPUAS UTAMA 3/YDC4452 - TK. LAUTAN 2501</t>
  </si>
  <si>
    <t>102/2018</t>
  </si>
  <si>
    <t>KM. BUANA GEMILANG I/YDKD3</t>
  </si>
  <si>
    <t>CRYSTAL ADMIRER/3EEX5</t>
  </si>
  <si>
    <t>TB.SYUKUR 22/YDA6032 - TK. TOTO 2</t>
  </si>
  <si>
    <t>187/3142</t>
  </si>
  <si>
    <t>MT BERNICE/C6HP3</t>
  </si>
  <si>
    <t>2,0/4,0</t>
  </si>
  <si>
    <t>MT.GOLDEN CURL/9V9027</t>
  </si>
  <si>
    <t>MV. SAMUDRA SAKTI 1/YCUW2</t>
  </si>
  <si>
    <t>MT. PETRO OCEAN XXII/JZKD</t>
  </si>
  <si>
    <t>MT. STENA PRO MARINE/5BRU5</t>
  </si>
  <si>
    <t>238/1927</t>
  </si>
  <si>
    <t>TB. TITAN 03 / YD3910 - TK. BINA MARINE 26</t>
  </si>
  <si>
    <t>MV. OCEAN SWAGMAN/9V8073</t>
  </si>
  <si>
    <t>TB.SYUKUR 05/YB6215-TK.SYUKUR 11</t>
  </si>
  <si>
    <t>26,49/84,78</t>
  </si>
  <si>
    <t>163/3100</t>
  </si>
  <si>
    <t>3,2/6</t>
  </si>
  <si>
    <t>MT.SIPI PIPAT/HSB6634</t>
  </si>
  <si>
    <t>MV.MINH ANH 01/XVPS</t>
  </si>
  <si>
    <t>TB AS JAYA 12/YDC4047 - TK AS GLORY 5</t>
  </si>
  <si>
    <t>94/1474</t>
  </si>
  <si>
    <t xml:space="preserve">MV. INTAN DAYA 22/POPI </t>
  </si>
  <si>
    <t>KLM. SOSIAL NOER INDAH/YC5910</t>
  </si>
  <si>
    <t>MV. LI DIAN 3/BHNW3</t>
  </si>
  <si>
    <t>PSE</t>
  </si>
  <si>
    <t>TB. LINTON 159 2019 / YDB6835 - TK. CAKRAWALA VI 2022</t>
  </si>
  <si>
    <t>24,34/96,56</t>
  </si>
  <si>
    <t>2,0/3,6</t>
  </si>
  <si>
    <t>TB. SURYA RATNA 7/9V6936 - TK. BARAKA MAKMUR 17</t>
  </si>
  <si>
    <t>28/100</t>
  </si>
  <si>
    <t>265/4246</t>
  </si>
  <si>
    <t>3/0,9</t>
  </si>
  <si>
    <t>TB. BINA MARINE 65 / YD3820 - TK. NAUTICA 19</t>
  </si>
  <si>
    <t>28/78,78</t>
  </si>
  <si>
    <t>266/3267</t>
  </si>
  <si>
    <t>3,5/5,9</t>
  </si>
  <si>
    <t xml:space="preserve">MV. REN JIAN 15/BPLO2 </t>
  </si>
  <si>
    <t>MV. LUMOSO ALAM/YCVU1</t>
  </si>
  <si>
    <t>MV.EDWARD N/A8XX7</t>
  </si>
  <si>
    <t>MV. XYS SATU/YDBT3</t>
  </si>
  <si>
    <t>CNS</t>
  </si>
  <si>
    <t>MV. OSAKANA/2HBU5</t>
  </si>
  <si>
    <t>MT. CHAMPION POMER/V7A2821</t>
  </si>
  <si>
    <t>KM.SINAKO/JZBT</t>
  </si>
  <si>
    <t>MT. GOLD TRADER II/3E3733</t>
  </si>
  <si>
    <t xml:space="preserve">MV. CAPT STEFANOS/C65N9 </t>
  </si>
  <si>
    <t>4,7/3,3</t>
  </si>
  <si>
    <t>MV. VAN GOGH/3FRY9</t>
  </si>
  <si>
    <t>TB.KELINCI MAS ENAM / YDB4673 - TK.BUMI ELAEIS EMAN</t>
  </si>
  <si>
    <t>25/90</t>
  </si>
  <si>
    <t>206/4067</t>
  </si>
  <si>
    <t>3/4.8</t>
  </si>
  <si>
    <t>TB. BAHARI 31 - TK. TB SD 686 / YDC4574</t>
  </si>
  <si>
    <t xml:space="preserve">TB.TANIMAS / YDA3581 - TK. TANIMAS MARINE </t>
  </si>
  <si>
    <t>19/70</t>
  </si>
  <si>
    <t>148/1684</t>
  </si>
  <si>
    <t>2.8/1.6</t>
  </si>
  <si>
    <t>MV. CEYLON BREEZE/4RDW</t>
  </si>
  <si>
    <t>MV.PRIMA SENTOSA/YDAW3</t>
  </si>
  <si>
    <t>TB. ARAPAIMA LAUT/YDA3011 - TK SM IDEPENDENT 204</t>
  </si>
  <si>
    <t>177/2816</t>
  </si>
  <si>
    <t>2,3/4,3</t>
  </si>
  <si>
    <t>TB. MAX 06/YDA4746 - TK. MAX 8706</t>
  </si>
  <si>
    <t>191/3568</t>
  </si>
  <si>
    <t xml:space="preserve">MT. TTC PIONEER/XVMY </t>
  </si>
  <si>
    <t xml:space="preserve">MT. ANUGERAH DEWI 12/JZQK </t>
  </si>
  <si>
    <t>MV. SKATZOURA/9HA4141</t>
  </si>
  <si>
    <t>TB. GLOBAL MANDIRI XII / YDB4374 - TK. EMAS BERSINAR XVII</t>
  </si>
  <si>
    <t>164/2831</t>
  </si>
  <si>
    <t>TB.LL RICHIE/YDC 4393-BG.LL 2517</t>
  </si>
  <si>
    <t>20/73,5</t>
  </si>
  <si>
    <t>155/1961</t>
  </si>
  <si>
    <t>2,7/3</t>
  </si>
  <si>
    <t>TB. SURYA PERKASA 303 / YDB4646 - TK. KAHURIPAN 305</t>
  </si>
  <si>
    <t>MV. VIET THUAN 80-02 / XVLL7</t>
  </si>
  <si>
    <t>MV. FRATZIS STSR/V7HA9</t>
  </si>
  <si>
    <t>MV. POLAR LADY/8PRO4</t>
  </si>
  <si>
    <t>TB.MITRA 217/YDA4820-TK.SEJAHTERA D 27</t>
  </si>
  <si>
    <t>3.0/0.9</t>
  </si>
  <si>
    <t>26/97,6</t>
  </si>
  <si>
    <t>186/4295</t>
  </si>
  <si>
    <t>2,7/0,40</t>
  </si>
  <si>
    <t>TB.LL ANACONDA/YDB4368</t>
  </si>
  <si>
    <t>23,50/73.15</t>
  </si>
  <si>
    <t>133/1982</t>
  </si>
  <si>
    <t>3/2,8</t>
  </si>
  <si>
    <t xml:space="preserve">MV. W JADE/D5EO4 </t>
  </si>
  <si>
    <t>MV. MARTHA GOLDEN/PNUG</t>
  </si>
  <si>
    <t>MV. HUA DA YUAN/5LQ4</t>
  </si>
  <si>
    <t>TB. PATRIA 38/YDC4720 - TK PATRIA 3218</t>
  </si>
  <si>
    <t>TB. AH 2018-03/YD86755 - TK CAKRAWALA VI 2022</t>
  </si>
  <si>
    <t>MT. DL JADE/YDEO3</t>
  </si>
  <si>
    <t>KM. ANUGGRAG BUANA III/YHXK</t>
  </si>
  <si>
    <t xml:space="preserve">MV MSC LYSE V/5LMP4 </t>
  </si>
  <si>
    <t>MV. SPRING MELODY/VRNH8</t>
  </si>
  <si>
    <t>TB. ALPINE MARINE 25/YD3793 - TK. NAUTICA 12</t>
  </si>
  <si>
    <t>268/3093</t>
  </si>
  <si>
    <t>MT G BRIGHT/D7CW</t>
  </si>
  <si>
    <t>TB BATARA 6/YDA6950 - TK CAHAYA 3008</t>
  </si>
  <si>
    <t>23,09/87,84</t>
  </si>
  <si>
    <t>177/3062</t>
  </si>
  <si>
    <t>2,6/4,9</t>
  </si>
  <si>
    <t>SE</t>
  </si>
  <si>
    <t>MT.SEGARATAMA I / PONY</t>
  </si>
  <si>
    <t>BUM</t>
  </si>
  <si>
    <t>MT. GAS CAMELLIA/YDVJ2</t>
  </si>
  <si>
    <t>MV.JIA TONG/BYEX</t>
  </si>
  <si>
    <t>TB. NATASHA MAKMUR/YDC3804 - TK. PERMATA PLA 3318</t>
  </si>
  <si>
    <t>207/4249</t>
  </si>
  <si>
    <t>TB.MAKMUR SELATAN 9/YDA4234  - TK.SM UNIVERSE 118</t>
  </si>
  <si>
    <t>21/76</t>
  </si>
  <si>
    <t>129/2298</t>
  </si>
  <si>
    <t>3,3/5,4</t>
  </si>
  <si>
    <t>MV. ERLYNE/A8</t>
  </si>
  <si>
    <t>TB JOHAN JAYA 166/YDC4519 - TK KAPUAS JAYA 9</t>
  </si>
  <si>
    <t>233/3636</t>
  </si>
  <si>
    <t>4./5</t>
  </si>
  <si>
    <t>TB JOHAN JAYA 165 / YDC6032 - TK KAPUAS JAYA 3011</t>
  </si>
  <si>
    <t>MV. JIU HUA HAI / BOCQ</t>
  </si>
  <si>
    <t>MV. OCEAN THALIA/3E5857</t>
  </si>
  <si>
    <t>MT. GUNMETAL JACK / V7CM8</t>
  </si>
  <si>
    <t>MV. DJO NO.1 / PNJE</t>
  </si>
  <si>
    <t>MV. TROPICAL BINTANG/3FRW4</t>
  </si>
  <si>
    <t>TB. JOHAN JAYA 176 / YDC3748 - TK. KAPUAS JAYA 3008</t>
  </si>
  <si>
    <t>TB. SRIKANDI BARUNA 2202 / YDA3807 - TK. BARUNA POWER 3005</t>
  </si>
  <si>
    <t>TB. LIBERTY 17/YD5340- TK. OCEAN MASTER 206</t>
  </si>
  <si>
    <t>26,31/97,54</t>
  </si>
  <si>
    <t>241/3708</t>
  </si>
  <si>
    <t>MV. ISA GOLDEN/YDGB2</t>
  </si>
  <si>
    <t>MT. AS MARINE DUA/YBAA</t>
  </si>
  <si>
    <t>MV. ZHENG RUN/3FFV2</t>
  </si>
  <si>
    <t>TB. MICHELLE 219-08/YDB6579 - TK. BAHTERA 3006</t>
  </si>
  <si>
    <t>197/3245</t>
  </si>
  <si>
    <t>3,2/4,9</t>
  </si>
  <si>
    <t>MT. DAMAI SEJAHTERA 8/JZNB</t>
  </si>
  <si>
    <t>79/1381</t>
  </si>
  <si>
    <t>RVS</t>
  </si>
  <si>
    <t>MV.ERMIS/3FBJ3</t>
  </si>
  <si>
    <t>MT.ATLAS/C6AS2</t>
  </si>
  <si>
    <t>TB. ARABIKA 7012/YDB4359 - TK. ARABIKA 8012</t>
  </si>
  <si>
    <t>27,3/87,78</t>
  </si>
  <si>
    <t>222/3195</t>
  </si>
  <si>
    <t>3,8/5,5</t>
  </si>
  <si>
    <t>KM.OPTIMUS/PMRB</t>
  </si>
  <si>
    <t>TB. MOMENTUM 12 / YDA3693 - TK. MOMENTUM 3012</t>
  </si>
  <si>
    <t>28,85/91,44</t>
  </si>
  <si>
    <t>249/3129</t>
  </si>
  <si>
    <t>MT. PETRO OCEAN XXIII / JZMD</t>
  </si>
  <si>
    <t>18,10/52,67</t>
  </si>
  <si>
    <t>MT. LPG/C GAS VENUS/YDAN2</t>
  </si>
  <si>
    <t>MT. KATSUYAMA/V7A4392</t>
  </si>
  <si>
    <t>TB.LEOPOWER 2217/YDB3003 - TK. LEOPOWER 3017</t>
  </si>
  <si>
    <t>232/3346</t>
  </si>
  <si>
    <t>3,7/4,8</t>
  </si>
  <si>
    <t>TB. DUTA KAPUAS 09 / YD4677 - TK. KAPUAS 168</t>
  </si>
  <si>
    <t>MT.GREEN PARK/YCFY2</t>
  </si>
  <si>
    <t>TB.SRIKANDI BARUNA 2204/YDC4677 - TK BARUNA POWER 3303</t>
  </si>
  <si>
    <t>TB. MAX 08/    - TK. MAX 8008</t>
  </si>
  <si>
    <t>27,1/87,78</t>
  </si>
  <si>
    <t>210/3254</t>
  </si>
  <si>
    <t>TB. TUNAS SS/YCC4639 - TK. MITRA MAKMUR 04</t>
  </si>
  <si>
    <t>19/57</t>
  </si>
  <si>
    <t>48/961</t>
  </si>
  <si>
    <t>2,5/3,2</t>
  </si>
  <si>
    <t>TB.MARINA18/YD3510 - TK.BPOWER 3005</t>
  </si>
  <si>
    <t>211/3649</t>
  </si>
  <si>
    <t>2,9/0,35</t>
  </si>
  <si>
    <t>KM.VIDI 01/PNRV</t>
  </si>
  <si>
    <t>MV.GOLDEN SPRAY/V7A4661</t>
  </si>
  <si>
    <t>MT. AEROEAS CATALINA/YDLR2</t>
  </si>
  <si>
    <t>27,15/96,56</t>
  </si>
  <si>
    <t>261/2154</t>
  </si>
  <si>
    <t>3,6/4,8</t>
  </si>
  <si>
    <t>MV.SEACON NOLA /5LJJ4</t>
  </si>
  <si>
    <t>MT. NORD SWIFT/OWPE2</t>
  </si>
  <si>
    <t>SEMESTA SEJAHTERA LESTARI</t>
  </si>
  <si>
    <t xml:space="preserve">MV. HORIZON 9/3EXF8 </t>
  </si>
  <si>
    <t>MV. ANGLO SAXON/MDAX3</t>
  </si>
  <si>
    <t>26/67</t>
  </si>
  <si>
    <t>75/2667</t>
  </si>
  <si>
    <t>3,0/4,3</t>
  </si>
  <si>
    <t>MV. BUNUN JUSTICE/3FXF7</t>
  </si>
  <si>
    <t>MV.MSC CAROLINA /3ECV5</t>
  </si>
  <si>
    <t>28/67,30</t>
  </si>
  <si>
    <t>145/1567</t>
  </si>
  <si>
    <t>2,8/2,2</t>
  </si>
  <si>
    <t>TB.SAHABAT KAPUAS UTAMA 7/YDC4587 - TK.SAHABAT KAPUAS MANDIRI 33</t>
  </si>
  <si>
    <t>TB. OCEAN MASTER 101/YDA4877 - TK. AZAMARA 23</t>
  </si>
  <si>
    <t>MV.KATAGALAN WISDOM III/HOXS</t>
  </si>
  <si>
    <t>MT.SEA GULL 9/V3HN</t>
  </si>
  <si>
    <t>MT SEA LA BAMBA/5LNW2</t>
  </si>
  <si>
    <t>TB. TITAN 11/YDA3616 - TK. TITAN 28</t>
  </si>
  <si>
    <t>27,36/87,78</t>
  </si>
  <si>
    <t>222/3124</t>
  </si>
  <si>
    <t>2,9/4,5</t>
  </si>
  <si>
    <t>TB.FPS 03/YDA 4957 - TK FPS 03A</t>
  </si>
  <si>
    <t>23,90/70,22</t>
  </si>
  <si>
    <t>156/1476</t>
  </si>
  <si>
    <t>TB.PIONEER 18/YD3991 - TK.MITRA 28</t>
  </si>
  <si>
    <t>23,5/80</t>
  </si>
  <si>
    <t>155/3080</t>
  </si>
  <si>
    <t>2,8/4,6</t>
  </si>
  <si>
    <t>MT.LANIKAI/3E5071</t>
  </si>
  <si>
    <t>140/1771</t>
  </si>
  <si>
    <t>3,4/3,9</t>
  </si>
  <si>
    <t>TB.REZEKI BERSAMA 1/YDA3515 - TK.REZEKI BERSAMA II</t>
  </si>
  <si>
    <t>TB. UNITED IX / YD3492 - TK. PSB IV</t>
  </si>
  <si>
    <t>APE</t>
  </si>
  <si>
    <t>145/2734</t>
  </si>
  <si>
    <t>3,5/5,8</t>
  </si>
  <si>
    <t xml:space="preserve">TB.SAK 03/YDB4868 - TK.VEGA BAHARI </t>
  </si>
  <si>
    <t>74/880</t>
  </si>
  <si>
    <t>2,25/3</t>
  </si>
  <si>
    <t>TB.BRAHMA 6/YDB4669 - TK. ANAN</t>
  </si>
  <si>
    <t>193/2880</t>
  </si>
  <si>
    <t>2,6/4,2</t>
  </si>
  <si>
    <t>2,9/5.5</t>
  </si>
  <si>
    <t>MV.ORIENTAL ACE/3FKR9</t>
  </si>
  <si>
    <t>MT GRIYA SUNDA/YDHT3</t>
  </si>
  <si>
    <t>MV.PAC CHRISTINA / VRVA6</t>
  </si>
  <si>
    <t>MV.ARCADIA SALUTE/7KKM</t>
  </si>
  <si>
    <t>MT. SEROJA XIX/YDAM2</t>
  </si>
  <si>
    <t>USJ</t>
  </si>
  <si>
    <t>MT. JABBAR ENERGY/YCOQ2</t>
  </si>
  <si>
    <t>TB. JANA NO 1/W9LL5 - TK. SUNRISE CLARITY</t>
  </si>
  <si>
    <t>KMP. ROYAL NUSANTARA/YHIU</t>
  </si>
  <si>
    <t>24/82</t>
  </si>
  <si>
    <t>155/2878</t>
  </si>
  <si>
    <t>3/1,3</t>
  </si>
  <si>
    <t>TB.BMH 01/YDC4684 - TK.MITRA SEGARA 01</t>
  </si>
  <si>
    <t xml:space="preserve">MV. GLORY PROSPERITY/3ELA8 </t>
  </si>
  <si>
    <t xml:space="preserve">MT. TRANSKO ARAFURA/YBOO2 </t>
  </si>
  <si>
    <t>TB.UNITED 2025/YDC3692-TK.ISM 3023</t>
  </si>
  <si>
    <t>25,5/89</t>
  </si>
  <si>
    <t>222/3.418</t>
  </si>
  <si>
    <t>3,1/1,2</t>
  </si>
  <si>
    <t>TB.ISO MAJU/YDC 4428 - TK. WIRA TIMUR X</t>
  </si>
  <si>
    <t>16,18/35,14</t>
  </si>
  <si>
    <t>31/252</t>
  </si>
  <si>
    <t>2,2/2,4</t>
  </si>
  <si>
    <t>MV.NORD ANDROMEDA/9V7206</t>
  </si>
  <si>
    <t>7,5</t>
  </si>
  <si>
    <t>TB.FPS 02/YDB 4400 - TK FPS 02A</t>
  </si>
  <si>
    <t>96/1715</t>
  </si>
  <si>
    <t>2,1/3,1</t>
  </si>
  <si>
    <t>MV. TITAN I/5LCE5</t>
  </si>
  <si>
    <t>MV. RAD TITAN/FLO8</t>
  </si>
  <si>
    <t>22.09/67.30</t>
  </si>
  <si>
    <t>155/1755</t>
  </si>
  <si>
    <t>2.8/1.8</t>
  </si>
  <si>
    <t>TB.ROYAL TB 9/YDB4750 - TK.ROYAL 9</t>
  </si>
  <si>
    <t>MT.AS SILVER ATLAS/YDXX2</t>
  </si>
  <si>
    <t>17,2/52</t>
  </si>
  <si>
    <t>49/867</t>
  </si>
  <si>
    <t>2,5/3,6</t>
  </si>
  <si>
    <t>TB.DENY VIII/YDB4905 - TK.SAHABAT KAPUAS MANDIRI XXXII</t>
  </si>
  <si>
    <t>JSL</t>
  </si>
  <si>
    <t>MT.KIRANA DWITYA/JZGQ</t>
  </si>
  <si>
    <t>MV. M PRIME/V70G5</t>
  </si>
  <si>
    <t>MT. LPG/C GAS AURORA/YDHY2</t>
  </si>
  <si>
    <t>214/4338</t>
  </si>
  <si>
    <t>TB JOHAN JAYA 162/YDB3290 - TK KAPUAS JAYA 3009</t>
  </si>
  <si>
    <t>27/87,28</t>
  </si>
  <si>
    <t>3,5/0,3</t>
  </si>
  <si>
    <t>MV.CHENG KAM WAH/CI40263</t>
  </si>
  <si>
    <t>4,8</t>
  </si>
  <si>
    <t>MT ARGHA 7/YCWO2</t>
  </si>
  <si>
    <t>TB KEITRNAS 23/YD3305 - TK MARINE POWER 3028</t>
  </si>
  <si>
    <t>MT.GAS EVA/YDCY2</t>
  </si>
  <si>
    <t>MT. GAS OMEGA/YDCI2</t>
  </si>
  <si>
    <t>KMP. MUTIARA BARAT/YBMC2</t>
  </si>
  <si>
    <t>MV UNITE OCEAN/9V9935</t>
  </si>
  <si>
    <t>TB PATRIA 34/YDC4581 - TK ANAN 12</t>
  </si>
  <si>
    <t>186/3913</t>
  </si>
  <si>
    <t>MT HEXAGON ALPHA/9M2067</t>
  </si>
  <si>
    <t>MV BAHTERA CEMERLANG/PLEF</t>
  </si>
  <si>
    <t>TB PRIMA 2/YDA4258 - TK MARITIM 2</t>
  </si>
  <si>
    <t>25,34/86</t>
  </si>
  <si>
    <t>222/3100</t>
  </si>
  <si>
    <t>1,8/2,8</t>
  </si>
  <si>
    <t>ALS</t>
  </si>
  <si>
    <t>MV UNO/5LJY9</t>
  </si>
  <si>
    <t>TPM</t>
  </si>
  <si>
    <t>MV TEAM VENTURES/3E6096</t>
  </si>
  <si>
    <t>MV FRIESIAN EXPRESS/CQ2171</t>
  </si>
  <si>
    <t>MT KIRANA TRITYA/YCMA2</t>
  </si>
  <si>
    <t>TB. TUNAS PERKASA III/YDC4579 - TK MAKMUR ABADI XI</t>
  </si>
  <si>
    <t>22,99/67,30</t>
  </si>
  <si>
    <t>119/1731</t>
  </si>
  <si>
    <t>3,40/4,20</t>
  </si>
  <si>
    <t>MV. SALVIA ISLAND/5LEL9</t>
  </si>
  <si>
    <t>TB LL DJU MING/YDC4031 - TK LL 2508</t>
  </si>
  <si>
    <t>21,6/73,15</t>
  </si>
  <si>
    <t>139/1982</t>
  </si>
  <si>
    <t>3,1/4,8</t>
  </si>
  <si>
    <t>SD</t>
  </si>
  <si>
    <t>MT. GAS PATRICIA/YCYT2</t>
  </si>
  <si>
    <t>TN MAX 01/YDB3247 - TK MAX 3001</t>
  </si>
  <si>
    <t>207/3251</t>
  </si>
  <si>
    <t>3,1/4,7</t>
  </si>
  <si>
    <t>MV VINA SHIP GOLD/3WSS</t>
  </si>
  <si>
    <r>
      <rPr>
        <i/>
        <sz val="12"/>
        <color indexed="8"/>
        <rFont val="Calibri"/>
        <family val="2"/>
      </rPr>
      <t xml:space="preserve">Prosedur Operasi Standard        </t>
    </r>
    <r>
      <rPr>
        <sz val="12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</t>
    </r>
    <r>
      <rPr>
        <i/>
        <sz val="12"/>
        <color indexed="8"/>
        <rFont val="Calibri"/>
        <family val="2"/>
      </rPr>
      <t>Panjang VTS</t>
    </r>
    <r>
      <rPr>
        <sz val="12"/>
        <color indexed="8"/>
        <rFont val="Calibri"/>
        <family val="2"/>
      </rPr>
      <t xml:space="preserve">                                                                                  </t>
    </r>
  </si>
  <si>
    <r>
      <t>Year</t>
    </r>
    <r>
      <rPr>
        <b/>
        <i/>
        <sz val="12"/>
        <color indexed="8"/>
        <rFont val="Calibri"/>
        <family val="2"/>
      </rPr>
      <t xml:space="preserve">               </t>
    </r>
  </si>
  <si>
    <t>MT MARGARETHA 1/JZYG</t>
  </si>
  <si>
    <t>TB MITRA JAYA XXI/YDB4855 - TK SAHABAT KAPUAS XXII</t>
  </si>
  <si>
    <t>20,55/67,30</t>
  </si>
  <si>
    <t>61/1515</t>
  </si>
  <si>
    <t>2,7/3,9</t>
  </si>
  <si>
    <t>MV NAVIOS STAR/3FFF2</t>
  </si>
  <si>
    <t>PMI</t>
  </si>
  <si>
    <t>MV SPIRIT SEJATI/JZEN</t>
  </si>
  <si>
    <t>MV. VIET THUAN 80-01/XVLC5</t>
  </si>
  <si>
    <t>SPOB. CAVALO MARINHO 15/YDQV3</t>
  </si>
  <si>
    <t>MT SUPER INFINITY/3EWX4</t>
  </si>
  <si>
    <t>TB PANDU JAYA PER 3/YDC4111 - TK BM II</t>
  </si>
  <si>
    <t>16/52,3</t>
  </si>
  <si>
    <t>48/993</t>
  </si>
  <si>
    <t>TB WAHANA 1805/YDA3976 - BG PSB 3015</t>
  </si>
  <si>
    <t>26/95</t>
  </si>
  <si>
    <t>230/3418</t>
  </si>
  <si>
    <t>4,0/5,0</t>
  </si>
  <si>
    <t>MV APOLLON/V7GY4</t>
  </si>
  <si>
    <t>TB.TITAN 15/YDA3685 - TK. TITAN 520</t>
  </si>
  <si>
    <t>222/3286</t>
  </si>
  <si>
    <t>KM DOLPHIN NUSANTARA 2/JZIY</t>
  </si>
  <si>
    <t>TB JOHAN JAYA 155/YDC4225 - TK KAPUAS JAYA 331</t>
  </si>
  <si>
    <t>28/96,5</t>
  </si>
  <si>
    <t>272/4169</t>
  </si>
  <si>
    <t>3/,3</t>
  </si>
  <si>
    <t>MT GAS INDONESIA II/YDEV2</t>
  </si>
  <si>
    <t>KM SAMYDRA SAKTI III/YCZT2</t>
  </si>
  <si>
    <t>MV SEROJA XIX/YDAMZ</t>
  </si>
  <si>
    <t>KM ROKAN PERMAI/YEZY</t>
  </si>
  <si>
    <t>MV T SYMPHONY/V7WV7</t>
  </si>
  <si>
    <t>TB UNIVERSAL ML9603/YDA4090 - TK KAN IV</t>
  </si>
  <si>
    <t>21,12/12,20</t>
  </si>
  <si>
    <t>110/1460</t>
  </si>
  <si>
    <t>2,40/3,20</t>
  </si>
  <si>
    <t>TB MARINDO 189/YD5181 - TK MHKL 8</t>
  </si>
  <si>
    <t>23/91</t>
  </si>
  <si>
    <t>189/4138</t>
  </si>
  <si>
    <t>3/5,50</t>
  </si>
  <si>
    <t>SAVRINDO</t>
  </si>
  <si>
    <t>TB OCEAN MASTER 102/YD4879 - TK AZAMARA 3059</t>
  </si>
  <si>
    <t>28,78/87,78</t>
  </si>
  <si>
    <t>319/3731</t>
  </si>
  <si>
    <t>MT DEE4 JUNIPER/5LDO5</t>
  </si>
  <si>
    <t>KRI BUBARA 868/ABCD</t>
  </si>
  <si>
    <t>KRI</t>
  </si>
  <si>
    <t>KM STB 14/PMPD</t>
  </si>
  <si>
    <t>BKG</t>
  </si>
  <si>
    <t xml:space="preserve">        PLUG A  VTS PANJANG</t>
  </si>
  <si>
    <t>TB YANG VITI XVIII/YD6317 - TK TOTO 8</t>
  </si>
  <si>
    <t>29/56</t>
  </si>
  <si>
    <t>192/5132</t>
  </si>
  <si>
    <t>TB HERI 2/YDB4989 - TK MAKMUR ABADI XX</t>
  </si>
  <si>
    <t>17/65</t>
  </si>
  <si>
    <t>43/1062</t>
  </si>
  <si>
    <t>4,/3</t>
  </si>
  <si>
    <t>MV CRYSTAL OCEAN/V7A4721</t>
  </si>
  <si>
    <t>MV MSC ANUSHA III/CQEQ8</t>
  </si>
  <si>
    <t>MT QUAN TAI/BPNK4</t>
  </si>
  <si>
    <t>KLM. SINAR ABADI/YC5620</t>
  </si>
  <si>
    <t>MV AK/PLFX</t>
  </si>
  <si>
    <t>MT. BERG/YCMW2</t>
  </si>
  <si>
    <t>MT CAVALO MARINHO 12/YDDW3</t>
  </si>
  <si>
    <t>MV MAERSK NASSJO/D5VC9</t>
  </si>
  <si>
    <t>TB MOMENTUM 13/YDA3695 - TK MOMENTUM 30013</t>
  </si>
  <si>
    <t>28,4/91,5</t>
  </si>
  <si>
    <t>3,0/1</t>
  </si>
  <si>
    <t>SSMC</t>
  </si>
  <si>
    <t>MV MAERSK VLADIVOSOK/3ESR6</t>
  </si>
  <si>
    <t>GRAND TAJIMA ONE/3EFH3</t>
  </si>
  <si>
    <t>MT GIAT ARMADA 01/YDHB2</t>
  </si>
  <si>
    <t>21,88/73,15</t>
  </si>
  <si>
    <t>PT SHINBISHI/YDC4513 - BG ESBINGO</t>
  </si>
  <si>
    <t>30/80</t>
  </si>
  <si>
    <t>470/2208</t>
  </si>
  <si>
    <t>4,1/4,7</t>
  </si>
  <si>
    <t>MT PANCARAN 120/YDFJ2</t>
  </si>
  <si>
    <t>MV PAC SHARON/VRUB6</t>
  </si>
  <si>
    <t>MV ROYA/3E7773</t>
  </si>
  <si>
    <t>TB CAVALO MARINHO 16/YDC3859 - TK METRO 16</t>
  </si>
  <si>
    <t>268/3240</t>
  </si>
  <si>
    <t>KLM.BERKAT SAFINAH/YC7404</t>
  </si>
  <si>
    <t>MV OCEAN RHEA/VRHN2</t>
  </si>
  <si>
    <t>21,78/73,15</t>
  </si>
  <si>
    <t>TB TERATAI/YD4641 - TK PATRA JAYA 3006</t>
  </si>
  <si>
    <t>30,60/87,84</t>
  </si>
  <si>
    <t>213/3060</t>
  </si>
  <si>
    <t>2,20/4,34</t>
  </si>
  <si>
    <t>MT MURMURE/5LNL8</t>
  </si>
  <si>
    <t>LSM DUNAMOS/PNJV</t>
  </si>
  <si>
    <t>MV BALI SANUR/PKRX</t>
  </si>
  <si>
    <t>MT LT BERYL/9V5432</t>
  </si>
  <si>
    <t>APM</t>
  </si>
  <si>
    <t>MT ARCTIC TERN/9V9884</t>
  </si>
  <si>
    <t>MV DD VOGUE/3EPG4</t>
  </si>
  <si>
    <t>TB BOMAS SEJATI/YD3273 - TK PULAU TIGA 3005</t>
  </si>
  <si>
    <t>22,61/91,48</t>
  </si>
  <si>
    <t>156/3147</t>
  </si>
  <si>
    <t>TB KIETRANS 25/YD3979 - TK STAR MARINE 25</t>
  </si>
  <si>
    <t>27,36/87,88</t>
  </si>
  <si>
    <t>223/3103</t>
  </si>
  <si>
    <t>184/2200</t>
  </si>
  <si>
    <t>TB BUANA RAIDER VI/YDA3208 - TK GOLDEN BOY 2308</t>
  </si>
  <si>
    <t>19,08/63,30</t>
  </si>
  <si>
    <t>88/1553</t>
  </si>
  <si>
    <t>2,2/3,6</t>
  </si>
  <si>
    <t>TB GLOBAL MANDIRI XXII/YDB4620 - TK SUMBER MAKMUR 168</t>
  </si>
  <si>
    <t>21,95/73,15</t>
  </si>
  <si>
    <t>108/2112</t>
  </si>
  <si>
    <t>2,2/4</t>
  </si>
  <si>
    <t>MT EVA BERGEN/DUJQ</t>
  </si>
  <si>
    <t>MV AFRICAN BATELEUR/C6HY2</t>
  </si>
  <si>
    <t>KM KARYA PERDANA 8/PNLP</t>
  </si>
  <si>
    <t>MT ASIKE I/PNJT</t>
  </si>
  <si>
    <t>TB. PRIMA 30 / YDB4495 - TK. MELAWI 02</t>
  </si>
  <si>
    <t>14,2/52,59</t>
  </si>
  <si>
    <t>51/757</t>
  </si>
  <si>
    <t>MV HARMONIOUS/VRND6</t>
  </si>
  <si>
    <t>TB CANAYA I/YDA3396 - TK CANAYA II</t>
  </si>
  <si>
    <t>28,08/67,30</t>
  </si>
  <si>
    <t>282/2022</t>
  </si>
  <si>
    <t>MV CLIPPER TRENT/V7A5007</t>
  </si>
  <si>
    <t>MV XIN HAI TONG 38/BPLH6</t>
  </si>
  <si>
    <t>MV ASAZURU/YCPW2</t>
  </si>
  <si>
    <t>MV MSC PRECISION V/CQA07</t>
  </si>
  <si>
    <t>TB LL JESICA/YDC4272 - TK LL 2509</t>
  </si>
  <si>
    <t>22,3/78,8</t>
  </si>
  <si>
    <t>192/4962</t>
  </si>
  <si>
    <t>MV DEVON EXPRESS/LXDB</t>
  </si>
  <si>
    <t>TB SAHABAT MAKMUR/YDB4947 - TK MITRA MAKMUR 04</t>
  </si>
  <si>
    <t>18,89/54</t>
  </si>
  <si>
    <t>42/4691</t>
  </si>
  <si>
    <t>2/3,8</t>
  </si>
  <si>
    <t>MV AM OCEAN PRIDE/V7A6832</t>
  </si>
  <si>
    <t>MV PELAREUS/V7GP2</t>
  </si>
  <si>
    <t>190/3433</t>
  </si>
  <si>
    <t>MV TALIMEN/D5LC5</t>
  </si>
  <si>
    <t>MT BENTLEY I/3FHA8</t>
  </si>
  <si>
    <t>TB MAHESA 102/YDA4898 - TK TERANG 316</t>
  </si>
  <si>
    <t>211/3103</t>
  </si>
  <si>
    <t>3,0/4,70</t>
  </si>
  <si>
    <t>TB TRANS ENTRADA 3/YDC3772 - TK ENTRADA 3002</t>
  </si>
  <si>
    <t>MV SAKTI/PNSL</t>
  </si>
  <si>
    <t>MV PUTERI SEJATI/YBPL2</t>
  </si>
  <si>
    <t>SPB WGM 3001P/YBGW2</t>
  </si>
  <si>
    <t>MV CSK ENTERPRISE/9V2929</t>
  </si>
  <si>
    <t>TB ISMAIL 01/YDA4729 - TK ALPHA RUKI 01</t>
  </si>
  <si>
    <t>3/4,5</t>
  </si>
  <si>
    <t>MV TOMINI SYMPHONY/V7MD4</t>
  </si>
  <si>
    <t>TB CAPRICORN 108/YDB4759 - TK AKK 18</t>
  </si>
  <si>
    <t>23,90/64,32</t>
  </si>
  <si>
    <t>156/1276</t>
  </si>
  <si>
    <t>2,8/2,6</t>
  </si>
  <si>
    <t>MT JM SUTERA 8/9M2055</t>
  </si>
  <si>
    <t>BPP</t>
  </si>
  <si>
    <t>KM SUKSES ABADI 88/POZF</t>
  </si>
  <si>
    <t>MT DONG GUI 20/BPLL8</t>
  </si>
  <si>
    <t>TB MENARA 01/YDB4898 -  TK SAHABAT KAPUAS MANDIRI XXXVI</t>
  </si>
  <si>
    <t>20,3/52,67</t>
  </si>
  <si>
    <t>50/1023</t>
  </si>
  <si>
    <t>2,10/2</t>
  </si>
  <si>
    <t>MV FLAG HOPE/D5DW5</t>
  </si>
  <si>
    <t>KM.MALACCA STRAIT/YDKEZ</t>
  </si>
  <si>
    <t>TB.WAHANA 2406/YDC3375 - TK ISM 3022</t>
  </si>
  <si>
    <t>222/3148</t>
  </si>
  <si>
    <t>MT.STOLT ENDURANCE/D5BW5</t>
  </si>
  <si>
    <t>TB.MARINA 1620/YDA6391 - TK MARINE POWER 3304</t>
  </si>
  <si>
    <t xml:space="preserve">TB.SATYA KENCANA 2302/YDC4235 / TK CITRA MANDIRI 2602 </t>
  </si>
  <si>
    <t>198/3346</t>
  </si>
  <si>
    <t>147/2151</t>
  </si>
  <si>
    <t>2/0,8</t>
  </si>
  <si>
    <t>TB.LIBERTY 21/YD5337 - TK AZAMARA 12</t>
  </si>
  <si>
    <t>241/3764</t>
  </si>
  <si>
    <t>TB.MARINA 2258/YDC3948 -TK MARINA POWER 5032</t>
  </si>
  <si>
    <t>246/3346</t>
  </si>
  <si>
    <t>2,9/4,0</t>
  </si>
  <si>
    <t xml:space="preserve">TB.CILEGON/YDA4136 - TK </t>
  </si>
  <si>
    <t>KM.BWT SUKSES 010/YDLQ3</t>
  </si>
  <si>
    <t>TB.LEO POWER 2219LT /YDB3015 -TK LEO MARINE 319</t>
  </si>
  <si>
    <t>SPOB.JUNA 04/YB4667</t>
  </si>
  <si>
    <t>MT.ARIMBI/PODD</t>
  </si>
  <si>
    <t>MV.PGL709/YDQR3</t>
  </si>
  <si>
    <t>KM.SHORYU 88 /YCBQ</t>
  </si>
  <si>
    <t>KM.GOLDEN COW I /YDCH</t>
  </si>
  <si>
    <t>MV.SHANNON/PNFN</t>
  </si>
  <si>
    <t>TB.TRANS POWER 215/YDB6259 - TK.GOLD TRANS 321</t>
  </si>
  <si>
    <t>243/3138</t>
  </si>
  <si>
    <t>MV.ITHOMI/8PAS6</t>
  </si>
  <si>
    <t>MT.DEWAYANI/PMVT</t>
  </si>
  <si>
    <t>TB.PACIFIC TWENTY SEVEN/YDC3683 - TK PACIFIC 3027</t>
  </si>
  <si>
    <t>239/3271</t>
  </si>
  <si>
    <t>TB.PATRIA 45/YDC4860 - TK PATRIA 2332</t>
  </si>
  <si>
    <t>TB.KIETRANS 3/YDA3762 - TK.STAR MARINE 3003</t>
  </si>
  <si>
    <t>27.36/87.78</t>
  </si>
  <si>
    <t>MT.BUANA MAS PERSADA/PMUI</t>
  </si>
  <si>
    <t>TB. MLB BANTAENG 32 / YDC3381 - TK. MDM 11</t>
  </si>
  <si>
    <t>29.45/120</t>
  </si>
  <si>
    <t>289/8051</t>
  </si>
  <si>
    <t>3.1/6.7</t>
  </si>
  <si>
    <t>TB.NUSA XVII 2023/YDC6389 - TK.CAKRAWALA XVIII 2023</t>
  </si>
  <si>
    <t>225/4338</t>
  </si>
  <si>
    <t>MV.THERESA BREEZE/3E5379</t>
  </si>
  <si>
    <t>TB.MARINA 21/YD3632 - TK.PERMATA PLA 3301</t>
  </si>
  <si>
    <t>27.36/96</t>
  </si>
  <si>
    <t>219/4170</t>
  </si>
  <si>
    <t>SIM</t>
  </si>
  <si>
    <t>26/100</t>
  </si>
  <si>
    <t>TB TITAN 37/YD3931-TK NAUTIKA 22</t>
  </si>
  <si>
    <t>TB.CAMAR 3/YD3362 - TK.CAMAR LAUT 3001</t>
  </si>
  <si>
    <t>23.54/87.78</t>
  </si>
  <si>
    <t>136/3103</t>
  </si>
  <si>
    <t>3.3/0.8</t>
  </si>
  <si>
    <t>88.8</t>
  </si>
  <si>
    <t>MV.ATHENA/HOXI</t>
  </si>
  <si>
    <t>MT.MIKA ZAYN/YHUV</t>
  </si>
  <si>
    <t>MV.PAHALA/YETC</t>
  </si>
  <si>
    <t>MV.LUCKY SOURCE/9V5292</t>
  </si>
  <si>
    <t>PSL</t>
  </si>
  <si>
    <t>TB.PANCARAN IV-115/YDA3838 - TK.PMT III-515</t>
  </si>
  <si>
    <t>11.8</t>
  </si>
  <si>
    <t>26.3/91.4</t>
  </si>
  <si>
    <t>222/3089</t>
  </si>
  <si>
    <t>TB.BINTANG LAUT 241/YD3841 - TK.CANDRA 301</t>
  </si>
  <si>
    <t>3.0/5.5</t>
  </si>
  <si>
    <t>MV.CELESTE/D5TY2</t>
  </si>
  <si>
    <t>TB.MAX 15/YDD3074 - TK.MAX 8715</t>
  </si>
  <si>
    <t>210/3568</t>
  </si>
  <si>
    <t>TB.VICTORY 2026/YD3009 - TK.PSB 3015</t>
  </si>
  <si>
    <t>28/90</t>
  </si>
  <si>
    <t>2.9/4.2</t>
  </si>
  <si>
    <t>TB. BGM 01/YDB6853 - TK.CAKRAWALA XX 2023</t>
  </si>
  <si>
    <t>MT VICTORY MAJU/YBFN2</t>
  </si>
  <si>
    <t>MV.NORD DRACO/V7IV3</t>
  </si>
  <si>
    <t>24/91.50</t>
  </si>
  <si>
    <t>217/3548</t>
  </si>
  <si>
    <t>3.0/0.6</t>
  </si>
  <si>
    <t>153/2160</t>
  </si>
  <si>
    <t>222/3878</t>
  </si>
  <si>
    <t>MV.IKAN BELIAK/9VAT6</t>
  </si>
  <si>
    <t>TB.BARUNA SUKSES 231/YDC4373 - TK.HARMONI SUKSES 261</t>
  </si>
  <si>
    <t>23.9/79.25</t>
  </si>
  <si>
    <t>TB.TOB 10/YDA6589 - TK.APOL 3016</t>
  </si>
  <si>
    <t>26.58/87.78</t>
  </si>
  <si>
    <t>239/3122</t>
  </si>
  <si>
    <t>TB.JOHAN JAYA 175/YDC3830 - TK.KAPUAS JAYA 3020</t>
  </si>
  <si>
    <t>TB. TOB 09 / YDA6505 - TK. MANNA LINE 812</t>
  </si>
  <si>
    <t>29.7/96.28</t>
  </si>
  <si>
    <t>SPB.NELLY A-100/YDXL2</t>
  </si>
  <si>
    <t>3.0</t>
  </si>
  <si>
    <t>TB. MITRA JAYA V/YDB4859 - TK.SAHABAT KAPUAS MANDIRI XXIII</t>
  </si>
  <si>
    <t>21.55/69.56</t>
  </si>
  <si>
    <t>131/1567</t>
  </si>
  <si>
    <t>23/83</t>
  </si>
  <si>
    <t>141/1633</t>
  </si>
  <si>
    <t>TB. LIBERTY 06 / YD5319 - TK. PELICAN 308</t>
  </si>
  <si>
    <t>MT.GOLDEN SIRIUS/3FYA3</t>
  </si>
  <si>
    <t>TB.ADITYA 55/YD3894 - TK.DM 399</t>
  </si>
  <si>
    <t>22.03/73.20</t>
  </si>
  <si>
    <t>153/1947</t>
  </si>
  <si>
    <t>2.8/0.6</t>
  </si>
  <si>
    <t>TB.LL JESSICA/YDC4272 - TK.LL 2509</t>
  </si>
  <si>
    <t>142/1961</t>
  </si>
  <si>
    <t>22.15/76</t>
  </si>
  <si>
    <t>TB.LL CLARA/YDC4386 - TK.LL 2528</t>
  </si>
  <si>
    <t>143/2264</t>
  </si>
  <si>
    <t>TB.MARINA 1627/YDB3139 - TK.MARINE POWER 3069</t>
  </si>
  <si>
    <t>28/91.44</t>
  </si>
  <si>
    <t>183/3350</t>
  </si>
  <si>
    <t>2.5/4.8</t>
  </si>
  <si>
    <t>TB. RP 96/YD4729 - TK. OB UDJU BESAR</t>
  </si>
  <si>
    <t>4.0/0.8</t>
  </si>
  <si>
    <t>MV.JULIANTO MD/YDJR</t>
  </si>
  <si>
    <t>TB.MARTHA I/YD2053-TKSENTANA INDAH</t>
  </si>
  <si>
    <t>TB.MARINA 1625/YDB3092-TK.MARINA POWER 3061</t>
  </si>
  <si>
    <t>MT.SEA LA BELLE/5LKW5</t>
  </si>
  <si>
    <t>MV.NAVI SKY/3FAO8</t>
  </si>
  <si>
    <t>MT.HIGH LEADER/5LVT9</t>
  </si>
  <si>
    <t>TB.AS JAYA 2/YDB4734-TK.AS GLORY 11</t>
  </si>
  <si>
    <t>TB.JOHAN JAYA 178/YDC3861-TK.KAPUAS JAYA 3021</t>
  </si>
  <si>
    <t>36/87</t>
  </si>
  <si>
    <t>26/83</t>
  </si>
  <si>
    <t>192/2880</t>
  </si>
  <si>
    <t>186/3349</t>
  </si>
  <si>
    <t>262/3188</t>
  </si>
  <si>
    <t>3/3,8</t>
  </si>
  <si>
    <t>3/6,0</t>
  </si>
  <si>
    <t>3,1/4,6</t>
  </si>
  <si>
    <t>TB.TRANS POWER 166/YDA4724 - TK.GOLD TRANS 318</t>
  </si>
  <si>
    <t>24.9/94</t>
  </si>
  <si>
    <t>203/3142</t>
  </si>
  <si>
    <t>2.5/0.7</t>
  </si>
  <si>
    <t>MV.MSC GINA/3FLY9</t>
  </si>
  <si>
    <t>259.5</t>
  </si>
  <si>
    <t>3.6/4.3</t>
  </si>
  <si>
    <t>TB.TRANS PASIFIC 06/YDA6364 - TK.AL AYYUBI 01</t>
  </si>
  <si>
    <t>25.70/87.70</t>
  </si>
  <si>
    <t>205/3102</t>
  </si>
  <si>
    <t>3.0/4.4</t>
  </si>
  <si>
    <t>MT.BIMA ANDALAN/YHZF</t>
  </si>
  <si>
    <t>CTL</t>
  </si>
  <si>
    <t>SPB.CHARLIE MARINE/YDYP2</t>
  </si>
  <si>
    <t>MV.CANPOTEX INSPIRE/VRSI3</t>
  </si>
  <si>
    <t>BLLS</t>
  </si>
  <si>
    <t>TB.ALBATROS 2/YD5226 - TK.FLAMINGO 8</t>
  </si>
  <si>
    <t>24.05/67.2</t>
  </si>
  <si>
    <t>TB.MARINA 2221/YDB3146 - TK.MARINE POWER 3309</t>
  </si>
  <si>
    <t>268/4461</t>
  </si>
  <si>
    <t>SPB.PREMIER BAHARI/YDQX3</t>
  </si>
  <si>
    <t>21/96.5</t>
  </si>
  <si>
    <t>259/4793</t>
  </si>
  <si>
    <t>3.0/4.7</t>
  </si>
  <si>
    <t>TB.ASINDO 001/YDA3272 - TK.SS 2501</t>
  </si>
  <si>
    <t>19.5/76.25</t>
  </si>
  <si>
    <t>104/1900</t>
  </si>
  <si>
    <t>MT.HARMONI SELATAN/YB5309</t>
  </si>
  <si>
    <t>36.61</t>
  </si>
  <si>
    <t>2.8/1.0</t>
  </si>
  <si>
    <t>TB.BINA SARANA 6/YDC4446 - TK.BINA SARANA 28</t>
  </si>
  <si>
    <t>28.20/111.2</t>
  </si>
  <si>
    <t>259/5883</t>
  </si>
  <si>
    <t>3.0/1.2</t>
  </si>
  <si>
    <t>TB.TRITON 02/YDC4740 - TK.TRITON 8702</t>
  </si>
  <si>
    <t>25.67/87.78</t>
  </si>
  <si>
    <t>SPOB.CAVALO MARINHO 10/YDCD2</t>
  </si>
  <si>
    <t>TB.NAUTILUS 01/YDA6238-TK.SINAR ANUGERAH 2</t>
  </si>
  <si>
    <t>TB.PASIFIC FIFTEEN/YDC 3374-TK.PASIFIC 3015</t>
  </si>
  <si>
    <t>MV.YIN NING/BPJO</t>
  </si>
  <si>
    <t>193/3148</t>
  </si>
  <si>
    <t>239/3270</t>
  </si>
  <si>
    <t>MV.CL PROSPERITY/9V999</t>
  </si>
  <si>
    <t>SPOB.WAETUO 07/YDD13</t>
  </si>
  <si>
    <t>45.50</t>
  </si>
  <si>
    <t>TB.MOMENTUM 05/YDA3372 - TK.MOMENTUM 3005</t>
  </si>
  <si>
    <t>24/87.7</t>
  </si>
  <si>
    <t>148/3129</t>
  </si>
  <si>
    <t>TB.MARINA 2216/YDB3056 - TK.MARINE POWER 3308</t>
  </si>
  <si>
    <t>29/100.5</t>
  </si>
  <si>
    <t>225/4492</t>
  </si>
  <si>
    <t>3.4/4.8</t>
  </si>
  <si>
    <t>27/87.89</t>
  </si>
  <si>
    <t>11.28</t>
  </si>
  <si>
    <t>TB. LIAM NELSON / YDB4203 - TK. BH 1</t>
  </si>
  <si>
    <t>72/937</t>
  </si>
  <si>
    <t>2.5/3.1</t>
  </si>
  <si>
    <t>MT.NUSANTARA SINERGI/PNYO</t>
  </si>
  <si>
    <t>49.50</t>
  </si>
  <si>
    <t>MT.PANCARAN PROSPERITY/YDIJ2</t>
  </si>
  <si>
    <t>TB.HARRY 05/YDB3247-TK.TUNAS SEJAHTERA 2</t>
  </si>
  <si>
    <t>26,9/79,5</t>
  </si>
  <si>
    <t>234/2.157</t>
  </si>
  <si>
    <t>KM.INTAN DAYA/PNOQ</t>
  </si>
  <si>
    <t>TB.GONAYA XVIII/YDB6904 - TK.INTAN 505</t>
  </si>
  <si>
    <t>24.20/83</t>
  </si>
  <si>
    <t>217/3233</t>
  </si>
  <si>
    <t>222/3254</t>
  </si>
  <si>
    <t>28/91.41</t>
  </si>
  <si>
    <t>TB.BINTANG LAUT 204/YDA6335 - TK.CHANDRA 304</t>
  </si>
  <si>
    <t>24.35/91.50</t>
  </si>
  <si>
    <t>188/3146</t>
  </si>
  <si>
    <t>2.8/0.7</t>
  </si>
  <si>
    <t>MV.BUNGA MELATI 51/YBGS2</t>
  </si>
  <si>
    <t>MV.MARVELOUS STAR/3FUC</t>
  </si>
  <si>
    <t>12.1</t>
  </si>
  <si>
    <t>26.23/88.37</t>
  </si>
  <si>
    <t>207/3481</t>
  </si>
  <si>
    <t>TB.ENTEBE POWER 08/YDA6552 - TK.FINACIA 98</t>
  </si>
  <si>
    <t>TB. EKA MARIS / YDA4392 - TK. KIMS 1</t>
  </si>
  <si>
    <t>24.98/94.50</t>
  </si>
  <si>
    <t>183/4131</t>
  </si>
  <si>
    <t>TB.OCEAN LILY 3/YDB4932 - TK.ANGSA KENCANA</t>
  </si>
  <si>
    <t>29/73.15</t>
  </si>
  <si>
    <t>257/1790</t>
  </si>
  <si>
    <t>MSI</t>
  </si>
  <si>
    <t>TB. KALUGA LAUT/YDA3312 - TK.SM KENCANA 228</t>
  </si>
  <si>
    <t>3.0/2.0</t>
  </si>
  <si>
    <t>TB.MITRA UTAMA 01/YDB4360 - TK.MITRA UTAMA 2302</t>
  </si>
  <si>
    <t>20.39/67.30</t>
  </si>
  <si>
    <t>106/1440</t>
  </si>
  <si>
    <t>3.2/5.6</t>
  </si>
  <si>
    <t>25,75/87,78</t>
  </si>
  <si>
    <t>228/4366</t>
  </si>
  <si>
    <t>MT.SAEHAN JASPER/D7NP</t>
  </si>
  <si>
    <t>TB. MARINA 2227/YDB3221 - TK.MARINE POWER 10902</t>
  </si>
  <si>
    <t>MT.INTER ARMADA 01/YD222</t>
  </si>
  <si>
    <t>MV.CALI/D5CD2</t>
  </si>
  <si>
    <t>12.6</t>
  </si>
  <si>
    <t>MT.CHERRY TONDA/3E5303</t>
  </si>
  <si>
    <t>MV.HTS 30/POYA</t>
  </si>
  <si>
    <t>MT.WELCO MALOIU/5LEL2</t>
  </si>
  <si>
    <t>3.6/5.0</t>
  </si>
  <si>
    <t>TB.SABANG 55/YDA4480 - TK.SUMBER JAYA 2780</t>
  </si>
  <si>
    <t>25/82.30</t>
  </si>
  <si>
    <t>163/2843</t>
  </si>
  <si>
    <t>3.6/4.2</t>
  </si>
  <si>
    <t>MV.GANADO EXPRESS/CQ2020</t>
  </si>
  <si>
    <t>21,62/87,84</t>
  </si>
  <si>
    <t>118/3158</t>
  </si>
  <si>
    <t>TB.MASI MANTAP/YDC6023-TK.KBU</t>
  </si>
  <si>
    <t>TB.BMJ 8/YDB4730-TK.BAHARI JAYA 9</t>
  </si>
  <si>
    <t>24,20/74,06</t>
  </si>
  <si>
    <t>186/2445</t>
  </si>
  <si>
    <t>25/68</t>
  </si>
  <si>
    <t>117/1632</t>
  </si>
  <si>
    <t>2.3/1.0</t>
  </si>
  <si>
    <t>MV.FENG SHUN/3E2136</t>
  </si>
  <si>
    <t>TB.SUTRA BHAKTI 1/YDA4494 - TK.SUTRA BHAKTI 88</t>
  </si>
  <si>
    <t>28.18/92</t>
  </si>
  <si>
    <t>260/3090</t>
  </si>
  <si>
    <t>MV.SDM CHONGQING/5LKP5</t>
  </si>
  <si>
    <t>KLM.RAHIM J INDAH V/YDPD3</t>
  </si>
  <si>
    <t>32.72</t>
  </si>
  <si>
    <t>20.78/67.34</t>
  </si>
  <si>
    <t>110/1688</t>
  </si>
  <si>
    <t>2.4/3.7</t>
  </si>
  <si>
    <t>21,74/77,37</t>
  </si>
  <si>
    <t>MT.OM BORNEO/5L6V3</t>
  </si>
  <si>
    <t>TB. JOHAN JAYA 132/YDB4446 - TK. KAPUAS JAYA 3121</t>
  </si>
  <si>
    <t>27.01/94.5</t>
  </si>
  <si>
    <t>TB.MITRA 216/YDB4341-TK.SEJAHTERA A 21</t>
  </si>
  <si>
    <t>TB.UVM-88/YDA3283-TK.MASITTAH 1</t>
  </si>
  <si>
    <t>TB. LIBERTY 2 / YD5213 - TK. AZAMARA 3062</t>
  </si>
  <si>
    <t>TB. KELINCI MAS DUA/YDB4282 - TK. BUMI ELAIES DUA</t>
  </si>
  <si>
    <t>21/52</t>
  </si>
  <si>
    <t>3.5/4.6</t>
  </si>
  <si>
    <t>3.0/3.9</t>
  </si>
  <si>
    <t>27.36/96.56</t>
  </si>
  <si>
    <t>29.27/105</t>
  </si>
  <si>
    <t>223/4371</t>
  </si>
  <si>
    <t>25.50/87.84</t>
  </si>
  <si>
    <t>2.6/0.7</t>
  </si>
  <si>
    <t>TB.NUSA XXXV 2024/YDD3086 - TK.CAKRAWALA XXXV</t>
  </si>
  <si>
    <t>27/91.4</t>
  </si>
  <si>
    <t>207/3510</t>
  </si>
  <si>
    <t>TB.PACIFIC THIRTY FIVE/YDC3914 - TK.PACIFIC 3035</t>
  </si>
  <si>
    <t>28.40/72</t>
  </si>
  <si>
    <t>3.1/0.7</t>
  </si>
  <si>
    <t>SPOB.BADILAH 01/YB5392</t>
  </si>
  <si>
    <t>SPOB.BUNGA TERATAI 2/YB6605</t>
  </si>
  <si>
    <t>MT.SUCCESS DALIA XLVIII/YBDG2</t>
  </si>
  <si>
    <t>TB.PATRIA 41/YDC4723 - TK.PATRIA 3221</t>
  </si>
  <si>
    <t>26/97.6</t>
  </si>
  <si>
    <t>222/4295</t>
  </si>
  <si>
    <t>3.8/5.0</t>
  </si>
  <si>
    <t>TB.SABANG 69/YDB4683 - TK.SUMBER JAYA 2730</t>
  </si>
  <si>
    <t>21.65/79.01</t>
  </si>
  <si>
    <t>156/2843</t>
  </si>
  <si>
    <t>26/87.76</t>
  </si>
  <si>
    <t>TB. MITRA 210 / YD4267 - TK. SEJAHTERA D 12</t>
  </si>
  <si>
    <t>25.25/72.28</t>
  </si>
  <si>
    <t>138/2150</t>
  </si>
  <si>
    <t>MT.YONG SHENG 39/BPVI5</t>
  </si>
  <si>
    <t>138.9</t>
  </si>
  <si>
    <t>TB.CAVALO MARINHO 09/YDB3090 - TK.METRO 0535</t>
  </si>
  <si>
    <t>23.1/70.10</t>
  </si>
  <si>
    <t>136/1595</t>
  </si>
  <si>
    <t>TB.SURYA PERKASA 206/YDB4634 - TK.KAHURIPAN 303</t>
  </si>
  <si>
    <t>19.87/76.08</t>
  </si>
  <si>
    <t>2.0/0.6</t>
  </si>
  <si>
    <t>TB.NUSA XII 2023/YDC6363 - TK.CAKRAWALA XVI 2023</t>
  </si>
  <si>
    <t>27/100</t>
  </si>
  <si>
    <t>KM.MUJUR I/PMWU</t>
  </si>
  <si>
    <t>KM.BAHAGIA SEJAHTERA/JZJR</t>
  </si>
  <si>
    <t>72.55</t>
  </si>
  <si>
    <t>SPOB.BARUNA 1/YDA6108</t>
  </si>
  <si>
    <t>BJI</t>
  </si>
  <si>
    <t>MV.SSI ADVENTURE/V7A4630</t>
  </si>
  <si>
    <t>MV.TANTO SEHAT/JZWC</t>
  </si>
  <si>
    <t>9.7</t>
  </si>
  <si>
    <t>MT.BLUE STAR 5/YCGP</t>
  </si>
  <si>
    <t>KMP.MUTIARA PERSADA III/PLMQ</t>
  </si>
  <si>
    <t>TB.MAX 12/YDC6534-BG.MAX 8712</t>
  </si>
  <si>
    <t>TB.BINA MARINE 57/YD3783-TK.BINA MARINE 58</t>
  </si>
  <si>
    <t>KM.CLARITY 08/JEYA</t>
  </si>
  <si>
    <t>TB.VICTORY 2014/YDC3840-TK.MEGANTA 3007</t>
  </si>
  <si>
    <t>30/91,44</t>
  </si>
  <si>
    <t>268/8.658</t>
  </si>
  <si>
    <t>BFO</t>
  </si>
  <si>
    <t>JMNS</t>
  </si>
  <si>
    <t>MT.SEAWAYS GAWE/A8K55</t>
  </si>
  <si>
    <t>MV.MSC ALABAMA III/3EDK7</t>
  </si>
  <si>
    <t>MT.MERATUS LEMBAR/YCHY2</t>
  </si>
  <si>
    <t>MV.PULAU KOHI/PMQV</t>
  </si>
  <si>
    <t>MV.XIN RONG/VRTBA</t>
  </si>
  <si>
    <t>MT.DING HENG 26/5LFF4</t>
  </si>
  <si>
    <t>SPOB.ELISABETH 06/YB6911</t>
  </si>
  <si>
    <t>40.25</t>
  </si>
  <si>
    <t>10.4</t>
  </si>
  <si>
    <t>TB.MITRA JAYA XIX/YDB4851 - TK.SKL XL</t>
  </si>
  <si>
    <t>23.17/61.45</t>
  </si>
  <si>
    <t>103/1617</t>
  </si>
  <si>
    <t>4.0/3.0</t>
  </si>
  <si>
    <t>TNB.DUTA KAPUAS 12/YDA4965 - TK.KAPUAS 266</t>
  </si>
  <si>
    <t>25.20/77.59</t>
  </si>
  <si>
    <t>208/2635</t>
  </si>
  <si>
    <t>TB.MARINA 2230/YDC3439-TK.MARINA POWER 3078</t>
  </si>
  <si>
    <t>TB.SUMBER MAKMUR 89/YDC4305-TK.MAKMUR ABADI XVIII</t>
  </si>
  <si>
    <t>MT.CHAMPION CORNELIA/5LVK9</t>
  </si>
  <si>
    <t>29/91.4</t>
  </si>
  <si>
    <t>228/3648</t>
  </si>
  <si>
    <t>20.28/52.62</t>
  </si>
  <si>
    <t>69/860</t>
  </si>
  <si>
    <t>MV.EVNIA/5BJG3</t>
  </si>
  <si>
    <t>MT.SEROJA XXII/YDIG2</t>
  </si>
  <si>
    <t>KM.SHA-502/JZHY</t>
  </si>
  <si>
    <t>40.3</t>
  </si>
  <si>
    <t>1.9</t>
  </si>
  <si>
    <t>3.2/4.8</t>
  </si>
  <si>
    <t>MV.BELAFONTE/LASH8</t>
  </si>
  <si>
    <t>TB.TRANS PASIFIC 99/YDC4123-TK.INDO OCEAN MARINE 19</t>
  </si>
  <si>
    <t>MT.MERATUS SAMPIT/YDKX2</t>
  </si>
  <si>
    <t>MT.BENTLY I/3FHA8</t>
  </si>
  <si>
    <t>192/2780</t>
  </si>
  <si>
    <t>MV.GUHI MAS/PMSA</t>
  </si>
  <si>
    <t>KM.INDO DHARMA 9/YHDT</t>
  </si>
  <si>
    <t>69.35</t>
  </si>
  <si>
    <t>175.9</t>
  </si>
  <si>
    <t>25/87.84</t>
  </si>
  <si>
    <t>151/2916</t>
  </si>
  <si>
    <t>2.9/3.0</t>
  </si>
  <si>
    <t>MV.MOCHTAR PRABU M/YDJS</t>
  </si>
  <si>
    <t>MV.CLARITY 08/JZYA</t>
  </si>
  <si>
    <t>MV.LINTAS BAHARI 20/PMVF</t>
  </si>
  <si>
    <t>MV.XENIA/5BXG3</t>
  </si>
  <si>
    <t xml:space="preserve">TB.SRIKANDI BARUNA 2402/YDB4176 - TK.BARUNA POWER 3302 </t>
  </si>
  <si>
    <t>3.0/3.0</t>
  </si>
  <si>
    <t>TB.CITEURUP I/YDA3184 - TK.KARUNIA SAMUDRA I</t>
  </si>
  <si>
    <t>28.81/91.44</t>
  </si>
  <si>
    <t>2.3/0.7</t>
  </si>
  <si>
    <t>TB.ONI XV/YDC4590 - TK.ILIR JAYA VIII</t>
  </si>
  <si>
    <t>24/85.39</t>
  </si>
  <si>
    <t>218/40.84</t>
  </si>
  <si>
    <t>25/77</t>
  </si>
  <si>
    <t>TB.SRIKANDI BARUNA 2401/YDB4175 - TK. BARUNA POWER 3301</t>
  </si>
  <si>
    <t>21.88/76.20</t>
  </si>
  <si>
    <t>24.36/71</t>
  </si>
  <si>
    <t>3.4/0.8</t>
  </si>
  <si>
    <t>28/92</t>
  </si>
  <si>
    <t>254/2840</t>
  </si>
  <si>
    <t>TB.SAMUDRA SINDO 25/YDB3244 - TK.BERLIAN PACIFIC II</t>
  </si>
  <si>
    <t>24.17/96.31</t>
  </si>
  <si>
    <t>198/4380</t>
  </si>
  <si>
    <t>3.6/6.5</t>
  </si>
  <si>
    <t>MV.NELLY VICTORY/YDAZ4</t>
  </si>
  <si>
    <t>MT.PAGERUNGAN/JZXD</t>
  </si>
  <si>
    <t>TB MULTI 03/YDB3232 - TK MULTI 3002</t>
  </si>
  <si>
    <t>232/4167</t>
  </si>
  <si>
    <t>27,01/96,56</t>
  </si>
  <si>
    <t>3.0/0.8</t>
  </si>
  <si>
    <t>TB.LL SYUKUR/YDC4267-TK.LL MESI</t>
  </si>
  <si>
    <t>21.80/70.22</t>
  </si>
  <si>
    <t>140/1895</t>
  </si>
  <si>
    <t>2.4/2.8</t>
  </si>
  <si>
    <t>3.9/3.0</t>
  </si>
  <si>
    <t>TB.BINTANG LAUT / YD4852 - TK.M MASTER PIS 318</t>
  </si>
  <si>
    <t>26.68/79.27</t>
  </si>
  <si>
    <t>208/2698</t>
  </si>
  <si>
    <t>3.8/3.0</t>
  </si>
  <si>
    <t>TB.KIETRANS 22/YD3375-TK.STAR MARINE 3083</t>
  </si>
  <si>
    <t>MV.ZY GALAXY/V7IN8</t>
  </si>
  <si>
    <t>MT.SC CHONGQING/VRIZ7</t>
  </si>
  <si>
    <t>MT.LADY AMANDA/V7A5276</t>
  </si>
  <si>
    <t>27.12/87.78</t>
  </si>
  <si>
    <t>211/3568</t>
  </si>
  <si>
    <t>21.84/72.54</t>
  </si>
  <si>
    <t>141/1683</t>
  </si>
  <si>
    <t>2.8/3.2</t>
  </si>
  <si>
    <t>TB.PANCARAN XLV 1215/YDA3713-TK.PMT III 615</t>
  </si>
  <si>
    <t>MT.NUAN LIAN 006/BOWZ9</t>
  </si>
  <si>
    <t>TB.PANCARAN 212/YDA6964-TK.PST 713</t>
  </si>
  <si>
    <t>26/100.5</t>
  </si>
  <si>
    <t>258/4334</t>
  </si>
  <si>
    <t>KM.YULIAN 88/PMJI</t>
  </si>
  <si>
    <t>99.8</t>
  </si>
  <si>
    <t>TB.SPGM 1289/YDA3022-TK.MMSS 2502</t>
  </si>
  <si>
    <t>165/2944</t>
  </si>
  <si>
    <t>2.8/0.5</t>
  </si>
  <si>
    <t>TB.KELINCI MAS SATU/YDB4045-TK.BUMI ELAIES SATU</t>
  </si>
  <si>
    <t>21.00/49.75</t>
  </si>
  <si>
    <t>129/1173</t>
  </si>
  <si>
    <t>MT.KUANG/YCMJ</t>
  </si>
  <si>
    <t>MT.BINTUMEN KOSEI/3FHK7</t>
  </si>
  <si>
    <t>SPOB.GEMILANG/YBA4376</t>
  </si>
  <si>
    <t>MV.VIDI NO 1/PNRV</t>
  </si>
  <si>
    <t>TB.FORTUNA 110/YDD3132-TK.FORTUNA 3005</t>
  </si>
  <si>
    <t>228/3652</t>
  </si>
  <si>
    <t>1.3/1.3</t>
  </si>
  <si>
    <t>MV.CHINA PRIDE/VRFO9</t>
  </si>
  <si>
    <t>TB.TELUK BAJAU SENTOSA/YDA6005-TK.TBL 30088</t>
  </si>
  <si>
    <t>31.0/87.78</t>
  </si>
  <si>
    <t>276/3137</t>
  </si>
  <si>
    <t>TB.SINAR BAHAGIA 07/TK.PANDU JAYA 1801</t>
  </si>
  <si>
    <t>62/2188</t>
  </si>
  <si>
    <t>228.9</t>
  </si>
  <si>
    <t>TB.PATRIA 47/YDC4884-TK.PATRIA 3227</t>
  </si>
  <si>
    <t>26/97.60</t>
  </si>
  <si>
    <t>MT.MIA/JZYL</t>
  </si>
  <si>
    <t>MV.TAI KEENNESS/5LEA2</t>
  </si>
  <si>
    <t>MT.START/V7A4983</t>
  </si>
  <si>
    <t>12.2</t>
  </si>
  <si>
    <t>MT.NARRATOR/5LVE3</t>
  </si>
  <si>
    <t>TB.REGINA II/YDC4842-TK.ASKARA JAYA II</t>
  </si>
  <si>
    <t>29.8/91</t>
  </si>
  <si>
    <t>279/3760</t>
  </si>
  <si>
    <t>3.8/0.8</t>
  </si>
  <si>
    <t>TB.CITRA 57/YDA3867-TK.CITRA 3009</t>
  </si>
  <si>
    <t>3.5/0.7</t>
  </si>
  <si>
    <t>1.4</t>
  </si>
  <si>
    <t>TB. BSP/YD4577-TK.BSP VIII</t>
  </si>
  <si>
    <t>19.92/60.36</t>
  </si>
  <si>
    <t>62/1076</t>
  </si>
  <si>
    <t>3.0/1.9</t>
  </si>
  <si>
    <t>197/3176</t>
  </si>
  <si>
    <t>SPOB.ANUGRAH/YCMW</t>
  </si>
  <si>
    <t>TB.NERA 13/YDB3278-TK.SANTANA 14</t>
  </si>
  <si>
    <t>182/3.109</t>
  </si>
  <si>
    <t>MV.KHADEEJAH JAHAN II/S2868</t>
  </si>
  <si>
    <t>MT.SELUMA EXPRESS/JZOU</t>
  </si>
  <si>
    <t>TB.SDS 44/YDA4112-TK.CITEURUM 2</t>
  </si>
  <si>
    <t>26.35/91.50</t>
  </si>
  <si>
    <t>197/3148</t>
  </si>
  <si>
    <t>3.3/3.5</t>
  </si>
  <si>
    <t>TB.MENTARAY LAUT/YD3696-TK.SM INFINITY 202</t>
  </si>
  <si>
    <t>27.95/75.8</t>
  </si>
  <si>
    <t>196/2666</t>
  </si>
  <si>
    <t>295/3568</t>
  </si>
  <si>
    <t>3.4/4.7</t>
  </si>
  <si>
    <t>KT.BUMI JAYA 02/</t>
  </si>
  <si>
    <t>TB. MITRA ANUGERAH 29 / YDB6421 - TK. TOTO VIII</t>
  </si>
  <si>
    <t>28/96.56</t>
  </si>
  <si>
    <t>261/5153</t>
  </si>
  <si>
    <t>TB.TOB 23/YDA3269-TK.MANNA LINES 9003</t>
  </si>
  <si>
    <t>26.6/91.44</t>
  </si>
  <si>
    <t>4.0/5.0</t>
  </si>
  <si>
    <t>KM.DUTA PERTIWI III/PMGH</t>
  </si>
  <si>
    <t>TB.PRIMA SAKTI I/YDB4774-TK.PRIMA SAMUDERA I</t>
  </si>
  <si>
    <t>26/86</t>
  </si>
  <si>
    <t>TB.KIETRANS 2/YDA3453-TK.STAR MARINE 3002</t>
  </si>
  <si>
    <t>28/88</t>
  </si>
  <si>
    <t>222/3060</t>
  </si>
  <si>
    <t>2.9/0.8</t>
  </si>
  <si>
    <t>MT.PANCARAN KHATULISTIWA/YDKJ3</t>
  </si>
  <si>
    <t>MT.PRECIOUS BALBOA/3E9017</t>
  </si>
  <si>
    <t>MV.TROODOS SUN/5BKB4</t>
  </si>
  <si>
    <t>TB.JOHAN JAYA 131/YDB4451-TK.KAPUAS JAYA 331</t>
  </si>
  <si>
    <t>27.7/97.2</t>
  </si>
  <si>
    <t>3.1/3.5</t>
  </si>
  <si>
    <t>TB JOHAN JAYA 130/YDB4340 - TK KAPUAS JAYA 3113</t>
  </si>
  <si>
    <t>28/94</t>
  </si>
  <si>
    <t>222/4120</t>
  </si>
  <si>
    <t>313/3836</t>
  </si>
  <si>
    <t>MTHANYU IMPERIAL/D7MA</t>
  </si>
  <si>
    <t>MV.BERKAH 99/YBMH2</t>
  </si>
  <si>
    <t>MV.VINIC BRAVE/3WBV9</t>
  </si>
  <si>
    <t>TB.MICHELLE 219 - 07/YDB6578-TK.ANJELINE 219-07</t>
  </si>
  <si>
    <t>24.5/87.78</t>
  </si>
  <si>
    <t>197/3036</t>
  </si>
  <si>
    <t>MV.IOLCOS LEGACY/9HA2090</t>
  </si>
  <si>
    <t>MT.CAI HONG DAO 6/BOEC5</t>
  </si>
  <si>
    <t xml:space="preserve">TB.LIUS BARU/YD6984-TK.PERMATA PLA </t>
  </si>
  <si>
    <t>26/78</t>
  </si>
  <si>
    <t>171/3319</t>
  </si>
  <si>
    <t>24/79</t>
  </si>
  <si>
    <t>201/2.918</t>
  </si>
  <si>
    <t>SPOB.SOLID 5/POOH</t>
  </si>
  <si>
    <t>TB.DUTA KAPUAS 29/YDC4922-TK.KAPUAS 276</t>
  </si>
  <si>
    <t>MV.ARLYN/YDYH2</t>
  </si>
  <si>
    <t>CMA</t>
  </si>
  <si>
    <t>TB. TKSI 12/YD5260 - TK. AME IV</t>
  </si>
  <si>
    <t>21/62.4</t>
  </si>
  <si>
    <t>2.0/2.4</t>
  </si>
  <si>
    <t>29.98/58.52</t>
  </si>
  <si>
    <t>2.6/3.6</t>
  </si>
  <si>
    <t>MV.XIN DA QIANG/BOPK</t>
  </si>
  <si>
    <t>TB.SINGSING 18/YDA4002-TK.KAN I</t>
  </si>
  <si>
    <t>23/75</t>
  </si>
  <si>
    <t>118/1460</t>
  </si>
  <si>
    <t>TB.SML 08A/YDD3233-TK.SML 3302A</t>
  </si>
  <si>
    <t>28.5/96</t>
  </si>
  <si>
    <t>279/4239</t>
  </si>
  <si>
    <t>KM.STB 16/PLMF</t>
  </si>
  <si>
    <t>NPS</t>
  </si>
  <si>
    <t>SPOB.DELTA VICTORY 08/YBIK2</t>
  </si>
  <si>
    <t>20.94/54.86</t>
  </si>
  <si>
    <t>TB.JOHAN JAYA 111/YD3544-TK.KAPUAS JAYA 335</t>
  </si>
  <si>
    <t>27,36/96,6</t>
  </si>
  <si>
    <t>116/4.565</t>
  </si>
  <si>
    <t>3,0/3,5</t>
  </si>
  <si>
    <t>KM. LAGUN MAS/PMRJ</t>
  </si>
  <si>
    <t>3.4/1.2</t>
  </si>
  <si>
    <t>TB.JOHAN JAYA 120/YDA4836-TK.KAPUAS JAYA 3117</t>
  </si>
  <si>
    <t>27.17/94.5</t>
  </si>
  <si>
    <t>MV.BROAD GLORY/3EHP2</t>
  </si>
  <si>
    <t>TB.ALBACORE LAUT - TK SM INDRAGIRI 338</t>
  </si>
  <si>
    <t>31.45/76.10</t>
  </si>
  <si>
    <t>303/2698</t>
  </si>
  <si>
    <t>4.0/4.3</t>
  </si>
  <si>
    <t>TB.NATASHA SUKSES/YDB3289 - TK.PERMATA PLA 3319</t>
  </si>
  <si>
    <t>2.5/5.8</t>
  </si>
  <si>
    <t>2.5/1.0</t>
  </si>
  <si>
    <t>MT.DIAN DINA/JZBQ</t>
  </si>
  <si>
    <t>TB.AS WARRIOR 5/YDA4985-TK.AS WARRIOR 6</t>
  </si>
  <si>
    <t>23.90/75.9</t>
  </si>
  <si>
    <t>152/1878</t>
  </si>
  <si>
    <t>3.0/1.4</t>
  </si>
  <si>
    <t>MV.ESPOIR SEVEN/DYPG</t>
  </si>
  <si>
    <t>TB. FERY X / YD6998 - BG.SURYA 5</t>
  </si>
  <si>
    <t>23.33/67.30</t>
  </si>
  <si>
    <t>27/91.44</t>
  </si>
  <si>
    <t>207/3419</t>
  </si>
  <si>
    <t>TB BSP XXXIII/YD4822 - TK BSP XXXIV</t>
  </si>
  <si>
    <t>79/1500</t>
  </si>
  <si>
    <t>3.8/2.8</t>
  </si>
  <si>
    <t>MV.NACC PANAREA/YDMB3</t>
  </si>
  <si>
    <t>MV.POLESTAR/T7BG3</t>
  </si>
  <si>
    <t>MV.MSC REN V/5LMW7</t>
  </si>
  <si>
    <t>11.3</t>
  </si>
  <si>
    <t>TB.SOROWAKO STAR/YD7030-TK.ROYAL 17</t>
  </si>
  <si>
    <t>26/67.49</t>
  </si>
  <si>
    <t>181/1975</t>
  </si>
  <si>
    <t>3.0/1.5</t>
  </si>
  <si>
    <t>MT.LAPETTA/YBDA2</t>
  </si>
  <si>
    <t>MV.CENTURION LUCILLA/V7A4972</t>
  </si>
  <si>
    <t>KM.OKAYAMA/PMLK</t>
  </si>
  <si>
    <t>TB.SEBESI 2/YDB4677 - TK.SEBUKU II</t>
  </si>
  <si>
    <t>3.3/3.8</t>
  </si>
  <si>
    <t>3.9/1.9</t>
  </si>
  <si>
    <t>TB.BSP XXXI/YDC3980-TK.BSP XXXII</t>
  </si>
  <si>
    <t>25/89</t>
  </si>
  <si>
    <t>151/2878</t>
  </si>
  <si>
    <t>TB.MELAK 1/YD3995-TK.AMB CETHRINE 01</t>
  </si>
  <si>
    <t>184/3186</t>
  </si>
  <si>
    <t>2.6/0.6</t>
  </si>
  <si>
    <t>TB.CAHAYA SURYA 3A/YDB4891-TK.TERATAI III</t>
  </si>
  <si>
    <t>26.69/74.61</t>
  </si>
  <si>
    <t>198/2303</t>
  </si>
  <si>
    <t>MT.MICHAEL 5/JZNE</t>
  </si>
  <si>
    <t>22.01/73.15</t>
  </si>
  <si>
    <t>142/2017</t>
  </si>
  <si>
    <t>2.4/0.6</t>
  </si>
  <si>
    <t>3.2/3.6</t>
  </si>
  <si>
    <t>2.6/3.5</t>
  </si>
  <si>
    <t>PMNP</t>
  </si>
  <si>
    <t>TB.TNT SURGE/9WKN3-TK.TNT GRIT 2501</t>
  </si>
  <si>
    <t>MV.BBC HELSINKI/V2IB9</t>
  </si>
  <si>
    <t>193/4338</t>
  </si>
  <si>
    <t>65.5</t>
  </si>
  <si>
    <t>SPOB.SRIKANDI 515/JZOV</t>
  </si>
  <si>
    <t>TB.KATELIA IV/YD4881</t>
  </si>
  <si>
    <t>29.34</t>
  </si>
  <si>
    <t>SPOB.SRIKANDI 518/JZOY</t>
  </si>
  <si>
    <t>TB.MITRA KENCANA VII/YDA4196-TK.SUMBER KENCANA I</t>
  </si>
  <si>
    <t>TB.SML 02A/YDD3169-TK.SML 3303</t>
  </si>
  <si>
    <t>28.57/96.56</t>
  </si>
  <si>
    <t>3.1/4.7</t>
  </si>
  <si>
    <t>TB.SATYA KENCANA 2305/YDC4797-TK.CITRA MANDIRI 2605</t>
  </si>
  <si>
    <t>24.30/80.62</t>
  </si>
  <si>
    <t>158/2140</t>
  </si>
  <si>
    <t>2.2/4.3</t>
  </si>
  <si>
    <t>TB.MITRA KENCANA 16/YDA3519 - TK.SUMBER KENCANA IV</t>
  </si>
  <si>
    <t>21.74/84.74</t>
  </si>
  <si>
    <t>146/2385</t>
  </si>
  <si>
    <t>2.8/1.4</t>
  </si>
  <si>
    <t>MT.BANGLAR AGRAJATRA/S2AI4</t>
  </si>
  <si>
    <t>TB.KIETRANS 82/YDD3210-TK.STAR MARINE 3082</t>
  </si>
  <si>
    <t>29/87.78</t>
  </si>
  <si>
    <t>216/3568</t>
  </si>
  <si>
    <t>MT.RUI GAO XING FU/96</t>
  </si>
  <si>
    <t>TB.CAVALO MARINHO 03/YDA3198-TK.METRO 0850</t>
  </si>
  <si>
    <t>23.50/81.08</t>
  </si>
  <si>
    <t>146/2764</t>
  </si>
  <si>
    <t>TB YANG VITI XVII/YDC4765 - TK TOTO XVII</t>
  </si>
  <si>
    <t>29.79/96.56</t>
  </si>
  <si>
    <t>134/1266</t>
  </si>
  <si>
    <t>TCP</t>
  </si>
  <si>
    <t>MV.GHALA/3FFK6</t>
  </si>
  <si>
    <t>182.9</t>
  </si>
  <si>
    <t>GL</t>
  </si>
  <si>
    <t>TB.NOAH X/YDA3417-TK.BSB 3016</t>
  </si>
  <si>
    <t>2.9/0.6</t>
  </si>
  <si>
    <t>27.1/87.78</t>
  </si>
  <si>
    <t>210/3433</t>
  </si>
  <si>
    <t>2.8/4.9</t>
  </si>
  <si>
    <t>28.3/75.2</t>
  </si>
  <si>
    <t>92/1379</t>
  </si>
  <si>
    <t>2.5/3.4</t>
  </si>
  <si>
    <t>TB.TRANS PACIFIC 55/YD5368-TK.INDO OCEAN MARINE VII</t>
  </si>
  <si>
    <t>26.50/69.70</t>
  </si>
  <si>
    <t>137/1596</t>
  </si>
  <si>
    <t>2.5/1.1</t>
  </si>
  <si>
    <t>MT.SC EQUATOR/V7A6965</t>
  </si>
  <si>
    <t>MV.AVERY CHIARA/YDAA3</t>
  </si>
  <si>
    <t>MV.TRABZON/9HA2783</t>
  </si>
  <si>
    <t>MT.PANCARAN INFINITY/YDPH2</t>
  </si>
  <si>
    <t>MV.BLOOM HALO/3E7737</t>
  </si>
  <si>
    <t>MV.SPINEL/9V8317</t>
  </si>
  <si>
    <t>147.9</t>
  </si>
  <si>
    <t>MV.PERLA/HOFC</t>
  </si>
  <si>
    <t>MV.VIYADA NAREE/9V2940</t>
  </si>
  <si>
    <t>MV.LMZ ATLAS/5BHB5</t>
  </si>
  <si>
    <t>KM.CARAKA JAYA N III - 11/YEWT</t>
  </si>
  <si>
    <t>MT.CHEM COBALT/D5TK3</t>
  </si>
  <si>
    <t>146.5</t>
  </si>
  <si>
    <t>MV.WILSON ECO 2/LAWAL8</t>
  </si>
  <si>
    <t>89.4</t>
  </si>
  <si>
    <t>TB.GLORY 99/YDB4753-TK.SAHABAT KAPUAS IV</t>
  </si>
  <si>
    <t>TB.TERUS DAYA 47/YD3868-TK.NAP 324</t>
  </si>
  <si>
    <t>255/3705</t>
  </si>
  <si>
    <t>3.8/5</t>
  </si>
  <si>
    <t>MV.ABM ILJIN/YCLS2</t>
  </si>
  <si>
    <t>129.3</t>
  </si>
  <si>
    <t>TB.FLORES 1/YDA3153-TK.AMB LEONARDO 02</t>
  </si>
  <si>
    <t>27.84/87.78</t>
  </si>
  <si>
    <t>263/3144</t>
  </si>
  <si>
    <t>MT.BITUMEN SHOURI/YDYI3</t>
  </si>
  <si>
    <t>96.5</t>
  </si>
  <si>
    <t>TB. SUMBER MAKMUR 28/YDC4499 - TK. HONGTHAI</t>
  </si>
  <si>
    <t>18.82/51.72</t>
  </si>
  <si>
    <t>57/844</t>
  </si>
  <si>
    <t>2.5/5.7</t>
  </si>
  <si>
    <t>MV.NAVI SUN/3E7549</t>
  </si>
  <si>
    <t>MV.LBN 1/YDEJ2</t>
  </si>
  <si>
    <t>Column1</t>
  </si>
  <si>
    <t>179.9</t>
  </si>
  <si>
    <t>TB.MDM BORNEO/YDA4199 - TK.MDM 10</t>
  </si>
  <si>
    <t>MV.RIO RITA/5LWQ8</t>
  </si>
  <si>
    <t>TB.ROYAL PALMA 7/YD4512-TK. PALMA XXII</t>
  </si>
  <si>
    <t>13.4</t>
  </si>
  <si>
    <t>MV.MSC CANCUN IV/A8TR4</t>
  </si>
  <si>
    <t>MV.AFRICAN ROLLER/5LQK5</t>
  </si>
  <si>
    <t>TB. NUSA I/YDA4802 - TK. CAKRAWALA V 2022</t>
  </si>
  <si>
    <t>24.9/100.5</t>
  </si>
  <si>
    <t>TB.LL DODI/YDC4382-TK.LL 2523</t>
  </si>
  <si>
    <t>23.50/73.15</t>
  </si>
  <si>
    <t>143/1975</t>
  </si>
  <si>
    <t>1.8/1.3</t>
  </si>
  <si>
    <t>1.7</t>
  </si>
  <si>
    <t>3.3/4.3</t>
  </si>
  <si>
    <t>22/70.8</t>
  </si>
  <si>
    <t>160/1687</t>
  </si>
  <si>
    <t>2.0/1.6</t>
  </si>
  <si>
    <t>TB.SLM 01/YD3969-TK.SLM 87</t>
  </si>
  <si>
    <t>25.2/70.1</t>
  </si>
  <si>
    <t>114/1941</t>
  </si>
  <si>
    <t>3.4/4.4</t>
  </si>
  <si>
    <t>RFS</t>
  </si>
  <si>
    <t>22/75</t>
  </si>
  <si>
    <t>SPOB.BSP XXX/YDVV3</t>
  </si>
  <si>
    <t>TB.PACIFIC STAR 1/YDC4161-TK.MITRA MAKMUR 05</t>
  </si>
  <si>
    <t>20.65/64.32</t>
  </si>
  <si>
    <t>81/1270</t>
  </si>
  <si>
    <t>TB. CAMAR 7 / YD3545 - TK. CAMAR LAUT 3303</t>
  </si>
  <si>
    <t>87.8</t>
  </si>
  <si>
    <t>TB.ENDEAVOR 3/YDA3823-TK.MMSS 2502</t>
  </si>
  <si>
    <t>24.22/73.15</t>
  </si>
  <si>
    <t>2.6/3.2</t>
  </si>
  <si>
    <t>MT.SPOB SRIKANDI 512/JZOT</t>
  </si>
  <si>
    <t>MT.DAPENGSHAN/5LVL8</t>
  </si>
  <si>
    <t>MT.GRIYA TERNATE/YMCL2</t>
  </si>
  <si>
    <t>TB.TRANS POWER 213/YDA4989-TK.GOLD TRANS 326</t>
  </si>
  <si>
    <t>263/3074</t>
  </si>
  <si>
    <t>MV.MPP CLEO/LXOW</t>
  </si>
  <si>
    <t>MV.MSC BERN V/CQEP6</t>
  </si>
  <si>
    <t>MT.ELANDRA CEDAR/V7A2982</t>
  </si>
  <si>
    <t>12.7</t>
  </si>
  <si>
    <t>MV.OCEAN TIDE/VRSK8</t>
  </si>
  <si>
    <t>TB.HADI VIII/YDA4003-TK.MARINI VIII</t>
  </si>
  <si>
    <t>TB.TUNAS BARU ABADI/YDB4893-TK.MAKMUR ABADI VIII</t>
  </si>
  <si>
    <t>19/60</t>
  </si>
  <si>
    <t>60/894</t>
  </si>
  <si>
    <t>18.15/64</t>
  </si>
  <si>
    <t>85/1110</t>
  </si>
  <si>
    <t>2.4/2.0</t>
  </si>
  <si>
    <t>MV.CRIMSON QUEEN/9V2308</t>
  </si>
  <si>
    <t>TB.MITRA JAYA XVII/YDB4867-TK.SAHABAT KAPUAS MANDIRI XXXIV</t>
  </si>
  <si>
    <t>3.2/1.0</t>
  </si>
  <si>
    <t>TB.LM RUBY/YD4929-TK.GABRIEL 3</t>
  </si>
  <si>
    <t>TB.PATRIA 40/SSD-TK.PATRIA 3219</t>
  </si>
  <si>
    <t>29/97.4</t>
  </si>
  <si>
    <t>4.8/3.4</t>
  </si>
  <si>
    <t>MT.APREGGIO/9V5093</t>
  </si>
  <si>
    <t>179.5</t>
  </si>
  <si>
    <t>88.6</t>
  </si>
  <si>
    <t>393/5135</t>
  </si>
  <si>
    <t>MV.HSL PERTH/3ENK5</t>
  </si>
  <si>
    <t>4.9/3.2</t>
  </si>
  <si>
    <t>MV.FORTUNE LORD/3EPF6</t>
  </si>
  <si>
    <t>185.7</t>
  </si>
  <si>
    <t>TB.MITRA KENCANA XI / YD3883 - TK.SUMBER KENCANA XVI</t>
  </si>
  <si>
    <t>21.74/69.05</t>
  </si>
  <si>
    <t>138/2069</t>
  </si>
  <si>
    <t>21.98/76.2</t>
  </si>
  <si>
    <t>2.6/1.6</t>
  </si>
  <si>
    <t>MV.AMARYLLIS/HOZF</t>
  </si>
  <si>
    <t>TB.DUTA KAPUAS 19/YDB4507-TK.KAPUAS 265</t>
  </si>
  <si>
    <t>27.10/77.62</t>
  </si>
  <si>
    <t>232/2517</t>
  </si>
  <si>
    <t>3.7/5.4</t>
  </si>
  <si>
    <t>TB LL DONNY/YDC4269 - TK LL 2502</t>
  </si>
  <si>
    <t>MT.HAFNIA AMETHYST/V7GW3</t>
  </si>
  <si>
    <t>MT.PERMATA NUSANTARA V/POZB</t>
  </si>
  <si>
    <t>KM.HTS 30/POYA</t>
  </si>
  <si>
    <t>82.50</t>
  </si>
  <si>
    <t>MV.SAKURA CORAL/3E5004</t>
  </si>
  <si>
    <t>122.02</t>
  </si>
  <si>
    <t>MV.HTK LAVENDER/3EWH8</t>
  </si>
  <si>
    <t>MV.LOCH LONG/3FCW</t>
  </si>
  <si>
    <t>MV.NVL JUPUTER/3E8461</t>
  </si>
  <si>
    <t>TB. LAYAR SAKTI 18/YDA6098 - TK.TOTO VIII</t>
  </si>
  <si>
    <t>27/96.30</t>
  </si>
  <si>
    <t>189/5135</t>
  </si>
  <si>
    <t>TB CELEBES SEJATI 01/YDC4008 - TK BAHTERA 3002</t>
  </si>
  <si>
    <t>28.9/87,78</t>
  </si>
  <si>
    <t>289/3245</t>
  </si>
  <si>
    <t>3/0,78</t>
  </si>
  <si>
    <t>TB STAR BRIGHT/9MQRS - TK ROYAL PALMA XXII</t>
  </si>
  <si>
    <t>21,32/76,25</t>
  </si>
  <si>
    <t>144/2047</t>
  </si>
  <si>
    <t>3,20/4,88</t>
  </si>
  <si>
    <t>KPM</t>
  </si>
  <si>
    <t>MT SOUTHERN ANOA/5LEA6</t>
  </si>
  <si>
    <t>MT.BLUE OCEAN 5/JZQL</t>
  </si>
  <si>
    <t>MV.TD HANBURG/D5MA9</t>
  </si>
  <si>
    <t>36.1</t>
  </si>
  <si>
    <t>TB.MACALLAN 6/9WQX5-TK.LAFITE</t>
  </si>
  <si>
    <t>293/4319</t>
  </si>
  <si>
    <t>3.3/0.9</t>
  </si>
  <si>
    <t>TB.  PANCARAN II 1615 /YDA4543 - TK. PMT II 1615</t>
  </si>
  <si>
    <t>22/52.6</t>
  </si>
  <si>
    <t>3.2/4.0</t>
  </si>
  <si>
    <t>3.3/4.8</t>
  </si>
  <si>
    <t>TB JOHAN JAYA 121/YDA4894 - TK KAPUAS JAYA 333</t>
  </si>
  <si>
    <t>27,17/100.6</t>
  </si>
  <si>
    <t>216/4564</t>
  </si>
  <si>
    <t>TB.SRIKANDI BARUNA 2004/YDD4065-TK.BARUNA POWER 3008</t>
  </si>
  <si>
    <t>3.4/4.3</t>
  </si>
  <si>
    <t>MT.DYLAN/5LPJ5</t>
  </si>
  <si>
    <t>TB.KARYA PACIFIC 2259/YDC3672-TK.PACIFIC STAR 8709</t>
  </si>
  <si>
    <t>207/3511</t>
  </si>
  <si>
    <t>4.0/4.9</t>
  </si>
  <si>
    <t>MT.SOUTHERN TURKEY/D5QB4</t>
  </si>
  <si>
    <t>134.9</t>
  </si>
  <si>
    <t>MV.SEJAHTERA 38/YDYJ3</t>
  </si>
  <si>
    <t>TB. AS POWER1 /YDA4816 - TK. AS STAR 9</t>
  </si>
  <si>
    <t>MV.XING GUANG 18/SSD</t>
  </si>
  <si>
    <t>KM. ARTA MULIA 2 / PMVQ</t>
  </si>
  <si>
    <t>TB.JKW MAHAKAM 7/YDB6793-TK.MBS 332</t>
  </si>
  <si>
    <t>28.4/96.56</t>
  </si>
  <si>
    <t>287/4263</t>
  </si>
  <si>
    <t>3.2/4.2</t>
  </si>
  <si>
    <t>TB.YANG VITI XX/YDEN4-TK.TOTO XXI</t>
  </si>
  <si>
    <t>32.3/96.56</t>
  </si>
  <si>
    <t>137/2252</t>
  </si>
  <si>
    <t>2.5/3.7</t>
  </si>
  <si>
    <t>3.2/4.5</t>
  </si>
  <si>
    <t>24.2/73.15</t>
  </si>
  <si>
    <t>212/2384</t>
  </si>
  <si>
    <t>23.14/96.05</t>
  </si>
  <si>
    <t>115/1337</t>
  </si>
  <si>
    <t>TB LL CALVIN LEE/YDC4385 - TK LL 2507</t>
  </si>
  <si>
    <t>140/1928</t>
  </si>
  <si>
    <t>2.0/1.9</t>
  </si>
  <si>
    <t>TB.AJATPARENG 8/YDB6564-TK.PMS 203</t>
  </si>
  <si>
    <t>25/80.23</t>
  </si>
  <si>
    <t>183/2140</t>
  </si>
  <si>
    <t>2.8/4.0</t>
  </si>
  <si>
    <t>TB.LIBERTY 9/YD5327-TK.AZAMARA 3032</t>
  </si>
  <si>
    <t>28.4/87.7</t>
  </si>
  <si>
    <t>255/3511</t>
  </si>
  <si>
    <t>3.5/4.1</t>
  </si>
  <si>
    <t>MV.ABUSAMAH/YDJT</t>
  </si>
  <si>
    <t>MT.YUAN DONG DE MING/BOUI4</t>
  </si>
  <si>
    <t>119.8</t>
  </si>
  <si>
    <t>SPOB.BUDIMAN II/YB6569</t>
  </si>
  <si>
    <t>21.8/73.15</t>
  </si>
  <si>
    <t>TB.LL MASERAT II/YDB4206-TK.LL 2508</t>
  </si>
  <si>
    <t>131/1595</t>
  </si>
  <si>
    <t>MT.SAONIC WIND/5LXN4</t>
  </si>
  <si>
    <t>182.7</t>
  </si>
  <si>
    <t>TB.INTAN MEGAH 1/YDA4552-TK.DEWI TABONEO</t>
  </si>
  <si>
    <t>28.05/91.5</t>
  </si>
  <si>
    <t>267/3039</t>
  </si>
  <si>
    <t>2.2/3.5</t>
  </si>
  <si>
    <t>TB.WILLIAM 5/YDB4715-TK.ANUGRAH 23</t>
  </si>
  <si>
    <t>2.4/4.0</t>
  </si>
  <si>
    <t>3.0/0.5</t>
  </si>
  <si>
    <t>MT.LUMBA LUMBA II/YB3815</t>
  </si>
  <si>
    <t>MV.SUCCESSOR/C4SZ2</t>
  </si>
  <si>
    <t>MV.GRAND CENTURY/VRBG9</t>
  </si>
  <si>
    <t>288.9</t>
  </si>
  <si>
    <t>11.6</t>
  </si>
  <si>
    <t>SPOB.TIRTA SUMDRA XIX/PNLW</t>
  </si>
  <si>
    <t>87.26</t>
  </si>
  <si>
    <t>MT.CAS JOHANNES/PMBK</t>
  </si>
  <si>
    <t>DISNAV</t>
  </si>
  <si>
    <t>TB.UJ 007/YDC6440-TK.YAMANI II</t>
  </si>
  <si>
    <t>18/67</t>
  </si>
  <si>
    <t>66/1584</t>
  </si>
  <si>
    <t>KN.KARAKATA/PKBC</t>
  </si>
  <si>
    <t>TB.CAHAYA SURYA 2/YDB4789-TK.TERATAI MERAH II</t>
  </si>
  <si>
    <t>24.69/74.61</t>
  </si>
  <si>
    <t>198/2301</t>
  </si>
  <si>
    <t>5.8/4.0</t>
  </si>
  <si>
    <t>MV.EAGLE/3E4725</t>
  </si>
  <si>
    <t>SPOB.ATHAMRA/SSD</t>
  </si>
  <si>
    <t>50.35</t>
  </si>
  <si>
    <t>26.82/96.56</t>
  </si>
  <si>
    <t>233/4338</t>
  </si>
  <si>
    <t>MT.NAURA 02/YDRV3</t>
  </si>
  <si>
    <t>TB.SEGARA SEJATI 3/YDA6650-TK.ASINDO 002</t>
  </si>
  <si>
    <t>TB.SRIKANDI BARUNA 2207/YDD4078-TK.BARUNA POWER 3306</t>
  </si>
  <si>
    <t>26.90/76.20</t>
  </si>
  <si>
    <t>233/2171</t>
  </si>
  <si>
    <t>3.2/4.4</t>
  </si>
  <si>
    <t>29/96.56</t>
  </si>
  <si>
    <t>207/4338</t>
  </si>
  <si>
    <t>3.1/4.6</t>
  </si>
  <si>
    <t>TB.SEN KHE 25/YDB4581-TK.OCEANBAY 23238</t>
  </si>
  <si>
    <t>25/70.1</t>
  </si>
  <si>
    <t>120/1824</t>
  </si>
  <si>
    <t>3.2/1.8</t>
  </si>
  <si>
    <t>TB.WLD 48/YDD3319-TK.LND 888</t>
  </si>
  <si>
    <t>3.6/1.0</t>
  </si>
  <si>
    <t>95.5</t>
  </si>
  <si>
    <t>2.6/3.8</t>
  </si>
  <si>
    <t>TB.NATASHA INDAH/YDB3288-TK.PERMATA PLA 3312</t>
  </si>
  <si>
    <t>3.7/4.2</t>
  </si>
  <si>
    <t>27/100.5</t>
  </si>
  <si>
    <t>207/4170</t>
  </si>
  <si>
    <t>TB.SURYA PERKASA 302/YDB4549-TK.KAHURIPAN 305</t>
  </si>
  <si>
    <t>3.6/1.3</t>
  </si>
  <si>
    <t>MV.RI YUN/3EYZ2</t>
  </si>
  <si>
    <t>171.5</t>
  </si>
  <si>
    <t>3.7/6.9</t>
  </si>
  <si>
    <t>29,3/120</t>
  </si>
  <si>
    <t>269/8050</t>
  </si>
  <si>
    <t>TB.TRANS POWER/YDB4729-TK.SING SING 99</t>
  </si>
  <si>
    <t>MT.STO LOBELIA/D7CD</t>
  </si>
  <si>
    <t>114.5</t>
  </si>
  <si>
    <t>MV.AKITSU/YCEC2</t>
  </si>
  <si>
    <t>5.48</t>
  </si>
  <si>
    <t>SPOB.PETRO OCEAN VI/JZRG</t>
  </si>
  <si>
    <t>21.90/54.16</t>
  </si>
  <si>
    <t>95/789</t>
  </si>
  <si>
    <t>3.6/3.5</t>
  </si>
  <si>
    <t>TB.GLOBAL MANDIRI XXIII/YDB4538-TK.LAUTAN BERSATU</t>
  </si>
  <si>
    <t>24/74</t>
  </si>
  <si>
    <t>MT.ROYAL CHEMIST/5LKG7</t>
  </si>
  <si>
    <t>28/84</t>
  </si>
  <si>
    <t>206/3131</t>
  </si>
  <si>
    <t>KMP.MUTIARA BARAT/YBMC2</t>
  </si>
  <si>
    <t>TB. LL LILY/YDC4390 - TK. LL 2507</t>
  </si>
  <si>
    <t>2.6/2.8</t>
  </si>
  <si>
    <t>PANJANG</t>
  </si>
  <si>
    <t>OUT</t>
  </si>
  <si>
    <t>MV.WEDI ALBOSTAN/6AGS</t>
  </si>
  <si>
    <t>MT.GAS ARAR/JZFE</t>
  </si>
  <si>
    <t>MV.PAN IMPERIAL/3E3447</t>
  </si>
  <si>
    <t>MT.BLUE MARINE 7/YEPC</t>
  </si>
  <si>
    <t>69.23</t>
  </si>
  <si>
    <t>KM.SEKAR PORNAMA/YFSN</t>
  </si>
  <si>
    <t>3.8/3.6</t>
  </si>
  <si>
    <t>TB. CAHAYA MAKMUR III / YDB4941 - TK. BH I</t>
  </si>
  <si>
    <t>15.50/52.67</t>
  </si>
  <si>
    <t>51/937</t>
  </si>
  <si>
    <t>2.2/0.4</t>
  </si>
  <si>
    <t>MT.RM 9/HSB9682</t>
  </si>
  <si>
    <t>93.37</t>
  </si>
  <si>
    <t>TB.SATRIA MADA/YDB4160-TK.ARTHA NIAGA</t>
  </si>
  <si>
    <t>20.89/54.20</t>
  </si>
  <si>
    <t>2.2/3.4</t>
  </si>
  <si>
    <t>MV/MSXT BELLONA/V7RV4</t>
  </si>
  <si>
    <t>KM.SUMBER BAHAGIA 7</t>
  </si>
  <si>
    <t>TB.SRIKANDI BARUNA 2206/YDD4076-TK.BARUNA POWER 3205</t>
  </si>
  <si>
    <t>0.9</t>
  </si>
  <si>
    <t>MV.SAHABAT SEJATI 8/YELV</t>
  </si>
  <si>
    <t>89.28</t>
  </si>
  <si>
    <t>TB.LL IRAWAN/YDC4385-TK.LL 2506</t>
  </si>
  <si>
    <t>21.88/76.2</t>
  </si>
  <si>
    <t>143/1961</t>
  </si>
  <si>
    <t>MV.XING NING HAI/VROO9</t>
  </si>
  <si>
    <t>MT.MANIGOM NAULI/YCBM</t>
  </si>
  <si>
    <t>3.0/2.8</t>
  </si>
  <si>
    <t>MT.DOLPHIN 01/3E3376</t>
  </si>
  <si>
    <t>TB.NUSA III/YDC6221-TK.ANT 989 2019</t>
  </si>
  <si>
    <t>26/87.74</t>
  </si>
  <si>
    <t>186/3106</t>
  </si>
  <si>
    <t>MT.PATRA TANKER 3/YHAW</t>
  </si>
  <si>
    <t>SPOB.BINTANG SAMUDRA 002/YDBU4</t>
  </si>
  <si>
    <t>TB.CITRA 55/YDA3817-TK.CITRA 3006</t>
  </si>
  <si>
    <t>18/87</t>
  </si>
  <si>
    <t>ZEN PUTRA</t>
  </si>
  <si>
    <t>MV.EASTERN FAIR/YDOT2</t>
  </si>
  <si>
    <t>MV LFG AGE/5LYZ8</t>
  </si>
  <si>
    <t>MT ALINYA/HSB5982</t>
  </si>
  <si>
    <t>TB.LL MACAN TUTUL 02/YDA3865 - TK.LL 2517</t>
  </si>
  <si>
    <t>22,3/73,15</t>
  </si>
  <si>
    <t>131/1961</t>
  </si>
  <si>
    <t>2,7/3,4</t>
  </si>
  <si>
    <t>TB NUSA XXXV 2024/YDD3089 - TK CAKRAWALA XXXV 2024</t>
  </si>
  <si>
    <t>4,0/4,10</t>
  </si>
  <si>
    <t>KM TAREX -1/PNAD</t>
  </si>
  <si>
    <t>MV NELLY A100/YDXL3</t>
  </si>
  <si>
    <t>MT AVENCA/5LDW5</t>
  </si>
  <si>
    <t>MV TAKAPUNA/3ETU3</t>
  </si>
  <si>
    <t>TB BINTANG LAUT 202/YDA6946 - TK CHANDRA 302</t>
  </si>
  <si>
    <t>256/3103</t>
  </si>
  <si>
    <t xml:space="preserve">MV DAISY GLORY/3FDZ9 </t>
  </si>
  <si>
    <t xml:space="preserve">MT CAVALO MARINHO 15/YDQV3 </t>
  </si>
  <si>
    <t>MV ROTE STRAIT/YDXD3</t>
  </si>
  <si>
    <t>MV CSSC TAI YUAN/VRTJG</t>
  </si>
  <si>
    <t>TB WILDMARINE 7/YDA3470 - TK GOLDEN WAY 2307</t>
  </si>
  <si>
    <t>23,30/67,30</t>
  </si>
  <si>
    <t>148/1553</t>
  </si>
  <si>
    <t>2,6/0,7</t>
  </si>
  <si>
    <t>TB DUTA KAPUAS 26/YDC4436 - TK KAPUAS 273</t>
  </si>
  <si>
    <t>26/79,01</t>
  </si>
  <si>
    <t>212/2816</t>
  </si>
  <si>
    <t>3,4/4,20</t>
  </si>
  <si>
    <t>TB ARMADA JAYA 21/YDD3100 - TK TRANS MARINE 3110</t>
  </si>
  <si>
    <t>210/3790</t>
  </si>
  <si>
    <t>2,10/0,8</t>
  </si>
  <si>
    <t>MT SIYA RAM/V2YM6</t>
  </si>
  <si>
    <t>TB SPEEDY MARINES/YDA3809 - TK VIRGILAND MARINES</t>
  </si>
  <si>
    <t>24/57</t>
  </si>
  <si>
    <t>112/8094</t>
  </si>
  <si>
    <t>2,5/0,9</t>
  </si>
  <si>
    <t>TB KALTIM DOLPHIN 17-06/YDA6468 - TK KALTIM ST 8002</t>
  </si>
  <si>
    <t>175/3102</t>
  </si>
  <si>
    <t>2,9/3,5</t>
  </si>
  <si>
    <t>TB SML 02 A/YDD3169- TK SML  3303 A</t>
  </si>
  <si>
    <t>27,80/97</t>
  </si>
  <si>
    <t>279/4323</t>
  </si>
  <si>
    <t>TB TRANS PACIFIC 99/YDC4123-TK INDO OCEAN MARINE 19</t>
  </si>
  <si>
    <t>24,17/73,15</t>
  </si>
  <si>
    <t>3,0/1,6</t>
  </si>
  <si>
    <t xml:space="preserve">MT PANCARAN PROSPERITY/YDIJ2 </t>
  </si>
  <si>
    <t>MT HENG HUI 19 / BOLD4</t>
  </si>
  <si>
    <t>MV STAR ANTWERP/5LVM6</t>
  </si>
  <si>
    <t>MV CENTURION SIGNIFER/3E3505</t>
  </si>
  <si>
    <t>MV GUHI MAS/PMSA</t>
  </si>
  <si>
    <t>MV MARAN NOBILITY/SVB58</t>
  </si>
  <si>
    <t>TB MITRA KENCANA 16/YDA3519 - TK MITRA BAHARI X</t>
  </si>
  <si>
    <t>21,7/79,2</t>
  </si>
  <si>
    <t>146/2723</t>
  </si>
  <si>
    <t>2,7/4,5</t>
  </si>
  <si>
    <t>MT SUPER EASTERN/D76Q</t>
  </si>
  <si>
    <t>TB KIETRANS 61/YDA3456 - TK STAR MARINE 2561</t>
  </si>
  <si>
    <t>22,56/73,15</t>
  </si>
  <si>
    <t>169/222</t>
  </si>
  <si>
    <t>3,3/4,5</t>
  </si>
  <si>
    <t>TB BINTANG ABADI 1/YDB 4994 - TK ALPHA KENCANA</t>
  </si>
  <si>
    <t>TB PANCARAN 212/YDA6964 - TK PST 713</t>
  </si>
  <si>
    <t>27,06/100</t>
  </si>
  <si>
    <t>MT MANIGOM NAULI/YCBM</t>
  </si>
  <si>
    <t>ATB</t>
  </si>
  <si>
    <t>MT SAEHAN JASPER/D7NP</t>
  </si>
  <si>
    <t>TB SURYA PERKASA 206/YDB4634 - TK KAHURIPAN 303</t>
  </si>
  <si>
    <t>122/2889</t>
  </si>
  <si>
    <t>3,0/3,2</t>
  </si>
  <si>
    <t>MV ANDROS SPIRIT/5LSQ5</t>
  </si>
  <si>
    <t>MV EUROSUM/A8ZX3</t>
  </si>
  <si>
    <t>TB MAX 16/YDD3174 - TK MAX 8716</t>
  </si>
  <si>
    <t>TB NAUTILUS  02/YDA6237 - TK SINAR ANUGRAH 01</t>
  </si>
  <si>
    <t>26,30/87,84</t>
  </si>
  <si>
    <t>189/3148</t>
  </si>
  <si>
    <t>PMB</t>
  </si>
  <si>
    <t>TB NBP PERDANA/YDB6827 - TK SEA DRAGON</t>
  </si>
  <si>
    <t>24,07/79,01</t>
  </si>
  <si>
    <t>151/2171</t>
  </si>
  <si>
    <t>2,8/4,4</t>
  </si>
  <si>
    <t>TB SINDO 001/YDA3272 - TK SS 2501</t>
  </si>
  <si>
    <t>19,5/76</t>
  </si>
  <si>
    <t>2,5/4,88</t>
  </si>
  <si>
    <t>REA</t>
  </si>
  <si>
    <t>MV SSI ADVENTURE/V7A4630</t>
  </si>
  <si>
    <t>TB CELEBES SEJATI 01/YDC4008 - TK BAHTERA 3005</t>
  </si>
  <si>
    <t>29/87,78</t>
  </si>
  <si>
    <t>MT ZONDA/V7A3182</t>
  </si>
  <si>
    <t>TB LL JAGUAR/YDB4192 - TK KAHIRUPAN 205</t>
  </si>
  <si>
    <t>20,58/69,6</t>
  </si>
  <si>
    <t>131/1474</t>
  </si>
  <si>
    <t>2,4/4,2</t>
  </si>
  <si>
    <t>TB LIBERTY 21/ - TK AZAMARA 12</t>
  </si>
  <si>
    <t>28/33</t>
  </si>
  <si>
    <t>241/3746</t>
  </si>
  <si>
    <t>TB BARUNA SUKSES 231/YDC4374 - TK HARMONI SUKSES 261</t>
  </si>
  <si>
    <t>23,70/79</t>
  </si>
  <si>
    <t>2,8/1,4</t>
  </si>
  <si>
    <t>TB BUANA GLORY/YD3851 - TK PROFIT 928</t>
  </si>
  <si>
    <t>18,98/58,46</t>
  </si>
  <si>
    <t>84/832</t>
  </si>
  <si>
    <t>2,8/3,1</t>
  </si>
  <si>
    <t>MT YOU SHEN 1/BPOI2</t>
  </si>
  <si>
    <t>TB ENTEBE STAR 30/YD6783 - TK FINACIA 71</t>
  </si>
  <si>
    <t>185/3145</t>
  </si>
  <si>
    <t>2,9/0,6</t>
  </si>
  <si>
    <t>TB CAHAYA VARUNA I/YDC4871 - TK TERATAI 31</t>
  </si>
  <si>
    <t>27/79,25</t>
  </si>
  <si>
    <t>225/2151</t>
  </si>
  <si>
    <t>3,5/1,6</t>
  </si>
  <si>
    <t>TB MARINA 2211/YDB3005 - TK MARINE POWER 3057</t>
  </si>
  <si>
    <t>23/98</t>
  </si>
  <si>
    <t>3,0/5,2</t>
  </si>
  <si>
    <t>MT AN RUN 3/BIJC</t>
  </si>
  <si>
    <t>TB SUTRA BHAKTI I/YDA4495 - TK SUTRA BHAKTI 88</t>
  </si>
  <si>
    <t>24,4/86</t>
  </si>
  <si>
    <t>4,0/4,5</t>
  </si>
  <si>
    <t>MT SEAWAYS GALLE/A8KS5</t>
  </si>
  <si>
    <t>TB KIETRANS 3/YDA3762 - TK STAR MARINE 3003</t>
  </si>
  <si>
    <t>22,36/87,78</t>
  </si>
  <si>
    <t>MT GEMINI PEARL/3EKO7</t>
  </si>
  <si>
    <t>TB KIETRANS 27/YDA3300-TK STAR MARINE 3033</t>
  </si>
  <si>
    <t>24/84</t>
  </si>
  <si>
    <t>222/3114</t>
  </si>
  <si>
    <t>2,7/2,8</t>
  </si>
  <si>
    <t>TB LL CLARA/YDC4386 - TK LL 2528</t>
  </si>
  <si>
    <t>MT MAERSK CORSICA / 0ZAR2</t>
  </si>
  <si>
    <t>MT SUN CROWN/HP66</t>
  </si>
  <si>
    <t>TB MASADA 25/YDB6861 - TK MASADA 10</t>
  </si>
  <si>
    <t>269/3107</t>
  </si>
  <si>
    <t>4,3/5,0</t>
  </si>
  <si>
    <t>API</t>
  </si>
  <si>
    <t>MV PRINCESS MARGO/V7A2083</t>
  </si>
  <si>
    <t>MT HAFNIA ARONALDO/V7GW8</t>
  </si>
  <si>
    <t xml:space="preserve">TB ONI XV/YDC4590 - TK ILIR JAYA VIII </t>
  </si>
  <si>
    <t>24,17/85,39</t>
  </si>
  <si>
    <t>218/4084</t>
  </si>
  <si>
    <t>3,0/5,7</t>
  </si>
  <si>
    <t>TB SYAFIRTA TWO/YDC3625 - TK GANDA SARI 3001</t>
  </si>
  <si>
    <t>TB MITRA JAYA XIX/YDB4851 - TK SAHABAT KAPUAS MANDIRI XL</t>
  </si>
  <si>
    <t>23,17/61,45</t>
  </si>
  <si>
    <t>2,8/4,27</t>
  </si>
  <si>
    <t>TB WAHANA 1607/YDC3472 - TK PSB 3007</t>
  </si>
  <si>
    <t>25/87</t>
  </si>
  <si>
    <t>151/3075</t>
  </si>
  <si>
    <t>TB KARYA PACIFIC 2235/YD3465 - TK PACIFIC STAR 8705</t>
  </si>
  <si>
    <t>3,20/4,2</t>
  </si>
  <si>
    <t>MT JAG PRIYANKA/ATAN2</t>
  </si>
  <si>
    <t>TB SARASWANTI 2 / YPC3712 - TK SARASWANTI 3</t>
  </si>
  <si>
    <t>26/87,85</t>
  </si>
  <si>
    <t>206/36,49</t>
  </si>
  <si>
    <t>4,9/4,9</t>
  </si>
  <si>
    <t>MV HENG YUAN 8/3E7063</t>
  </si>
  <si>
    <t>MV BULK GUATEMALA/3EXC4</t>
  </si>
  <si>
    <t xml:space="preserve">MV CL SUZHOU/D5TZ2 </t>
  </si>
  <si>
    <t>MT DONG GUI 18 / BPIB9</t>
  </si>
  <si>
    <t>TB CITRA 58/YD3855-TK CITRA 3010</t>
  </si>
  <si>
    <t>24,15/91,44</t>
  </si>
  <si>
    <t>3,0/4,6</t>
  </si>
  <si>
    <t>TB SML 07 A - TK SML 3009 A</t>
  </si>
  <si>
    <t>28,58/87,78</t>
  </si>
  <si>
    <t>297/3721</t>
  </si>
  <si>
    <t>TB NERA 13/YDB3279-TK SARANA MARINE 14</t>
  </si>
  <si>
    <t>182/3109</t>
  </si>
  <si>
    <t xml:space="preserve">PBUM </t>
  </si>
  <si>
    <t>TB BINTANG LAUT 204/YDA6335 - TK CHANDRA 304</t>
  </si>
  <si>
    <t>24,35/91,50</t>
  </si>
  <si>
    <t>166/3146</t>
  </si>
  <si>
    <t>3,0/4,7</t>
  </si>
  <si>
    <t>TB MAX 13/YDC6608 - TK MAX 8713</t>
  </si>
  <si>
    <t>27,90/87,78</t>
  </si>
  <si>
    <t>266/3568</t>
  </si>
  <si>
    <t>4,11/0.8</t>
  </si>
  <si>
    <t>MV. GLOVIS DAYLIGHT / D7ED</t>
  </si>
  <si>
    <t>14.4</t>
  </si>
  <si>
    <t>ALD</t>
  </si>
  <si>
    <t>TB AJI / YHCX</t>
  </si>
  <si>
    <t>TB MARINA 2216/YDB3056 - TK MARINE POWER 3308</t>
  </si>
  <si>
    <t>MV CL SPRUCE/3E8308</t>
  </si>
  <si>
    <t>LC</t>
  </si>
  <si>
    <t>TB ROYAL TB 17 / YDB4749 - TK ROYAL 17</t>
  </si>
  <si>
    <t>23.7/70.01</t>
  </si>
  <si>
    <t>155/1975</t>
  </si>
  <si>
    <t>3,2/4,0</t>
  </si>
  <si>
    <t xml:space="preserve">MT SOUTHERN BELUGA/5LFI5 </t>
  </si>
  <si>
    <t>MT TONDA/V7A4391</t>
  </si>
  <si>
    <t>TB ONI V/YD3996 - TK ILIR JAYA VII</t>
  </si>
  <si>
    <t>19,51/74,21</t>
  </si>
  <si>
    <t>112/3553</t>
  </si>
  <si>
    <t>2,7/7,0</t>
  </si>
  <si>
    <t xml:space="preserve">MT BSP XXX / YDVV3 </t>
  </si>
  <si>
    <t>TB LIBERTY 26 / YD5362 - TK AZAMARA 3066</t>
  </si>
  <si>
    <t>26,31/91,50</t>
  </si>
  <si>
    <t>242/3548</t>
  </si>
  <si>
    <t>3,6/6,10</t>
  </si>
  <si>
    <t xml:space="preserve">TB YANG VITI IX/YDA6694 - TK TOTO VII </t>
  </si>
  <si>
    <t>25/80</t>
  </si>
  <si>
    <t>229/5135</t>
  </si>
  <si>
    <t>TB ROYAL PALMA 7/YD4512 - TK ROYAL PALMA 22</t>
  </si>
  <si>
    <t>22/70</t>
  </si>
  <si>
    <t>160/1683</t>
  </si>
  <si>
    <t>TB JOHAN JAYA 111/YD3544 - TK KAPUAS JAYA 335</t>
  </si>
  <si>
    <t>27,4/96,62</t>
  </si>
  <si>
    <t>3,7/6,4</t>
  </si>
  <si>
    <t xml:space="preserve">MV PRIDE OF YASNA /S2BP8 </t>
  </si>
  <si>
    <t xml:space="preserve">TB TRANS PACIFIC 55/YD5368 - TK INDAH OCEAN MARINE VII </t>
  </si>
  <si>
    <t>23,5/69,79</t>
  </si>
  <si>
    <t>MV HAFNIA ANDREA/9V6572</t>
  </si>
  <si>
    <t xml:space="preserve">MT DENISE JUNITA/YDYB3 </t>
  </si>
  <si>
    <t xml:space="preserve">MV WADI FERAN/6AGR </t>
  </si>
  <si>
    <t xml:space="preserve">TB CBR 02 /Y3D5105 - TK RW 8 </t>
  </si>
  <si>
    <t>20/54</t>
  </si>
  <si>
    <t>61/912</t>
  </si>
  <si>
    <t>2,3/1,0</t>
  </si>
  <si>
    <t xml:space="preserve">MV NACC PANAREA/YDMB3 </t>
  </si>
  <si>
    <t>TB WIJAYA TRANS 31/YDC3755 - TK WIJAYA TRANS 231</t>
  </si>
  <si>
    <t>207/3253</t>
  </si>
  <si>
    <t>3,0/4,8</t>
  </si>
  <si>
    <t>TB MAX 03/YDB3322 - TK MAX 9003</t>
  </si>
  <si>
    <t>MT AEGEAN C /5LRV5</t>
  </si>
  <si>
    <t>TB DOLPHIN 58/YDC4662 - TK BKT 303</t>
  </si>
  <si>
    <t>25/87,84</t>
  </si>
  <si>
    <t>174/3305</t>
  </si>
  <si>
    <t>TB VIRGO POWER 21/ YDC4930 - TK VIRGO SEJATI 352</t>
  </si>
  <si>
    <t>212/4325</t>
  </si>
  <si>
    <t>MV THERESA HEBEI/VRKB4</t>
  </si>
  <si>
    <t xml:space="preserve">MV ARLYN/YDYH2 </t>
  </si>
  <si>
    <t xml:space="preserve">MT MIA/JZYL </t>
  </si>
  <si>
    <t>MT SEA ADVENTURE/5LRZ</t>
  </si>
  <si>
    <t>MV OCEAN LEE/WDP8806</t>
  </si>
  <si>
    <t>MT GOLDEN SAGITTARIUS/D5UZ8</t>
  </si>
  <si>
    <t xml:space="preserve">TB TRANS POWER / YDB4729 - TK SING SING 99 </t>
  </si>
  <si>
    <t>21,90/54,16</t>
  </si>
  <si>
    <t>2,6/2,6</t>
  </si>
  <si>
    <t xml:space="preserve">BMSL </t>
  </si>
  <si>
    <t xml:space="preserve">MV SHANNON/PNFN </t>
  </si>
  <si>
    <t>TB SML 11 A/YDD3237-TK SML 3011</t>
  </si>
  <si>
    <t>279/3721</t>
  </si>
  <si>
    <t>MT PRECIOUS BALBOA/3E9017</t>
  </si>
  <si>
    <t>MV STAR ROTTERDAM/5LRP8</t>
  </si>
  <si>
    <t>SJA</t>
  </si>
  <si>
    <t xml:space="preserve">MV KHADEEJAH JAHAN II </t>
  </si>
  <si>
    <t>TB BOJOMA 2902/YDB3099 - TK FLY POWER 3007</t>
  </si>
  <si>
    <t>28/87,78</t>
  </si>
  <si>
    <t>241/3405</t>
  </si>
  <si>
    <t xml:space="preserve">MT PANCARAN AGILITY/YDTK3 </t>
  </si>
  <si>
    <t>MT SRI NATHAWEE/HSB9209</t>
  </si>
  <si>
    <t xml:space="preserve">MT WAN CHENG/D5XH3 </t>
  </si>
  <si>
    <t xml:space="preserve">KM STB 16/PLMF </t>
  </si>
  <si>
    <t>TB AUGUSTA 3/YDB4600 - TK PMT IV-115</t>
  </si>
  <si>
    <t>21,9/75,4</t>
  </si>
  <si>
    <t>109/2332</t>
  </si>
  <si>
    <t>2,0/0,2</t>
  </si>
  <si>
    <t>TB FIONA 01/YDA3462-TK RIMAU 2506</t>
  </si>
  <si>
    <t>MV METEORA/ZCTB8</t>
  </si>
  <si>
    <t xml:space="preserve">MT NOVA NAOMI/PNEL </t>
  </si>
  <si>
    <t>MV BAO REN LING/BRJS</t>
  </si>
  <si>
    <t>SPOB SAMAWA / YDLH3</t>
  </si>
  <si>
    <t>TB SDS 44/YDA4112-TK CITEURUP 2</t>
  </si>
  <si>
    <t>26,35/91,50</t>
  </si>
  <si>
    <t>3,5/3,8</t>
  </si>
  <si>
    <t xml:space="preserve">MV MSXT HELEN/5LAT2 </t>
  </si>
  <si>
    <t>MV OHSUMI/</t>
  </si>
  <si>
    <t>KT BUMI JAYA 02/YDC6506-BG BUMI 3003</t>
  </si>
  <si>
    <t>28,24/87,78</t>
  </si>
  <si>
    <t>254/3400</t>
  </si>
  <si>
    <t>2,5/4,4</t>
  </si>
  <si>
    <t>TB NELLY 89/YEC4898 - TK NELLY 92</t>
  </si>
  <si>
    <t>175/3121</t>
  </si>
  <si>
    <t>MT NORD MATE/3E8867</t>
  </si>
  <si>
    <t xml:space="preserve">MT MARITIM NUSANTARA/YDYM2 </t>
  </si>
  <si>
    <t>TB LIUS BARU/YD684- TK PERMATA PLA 3915</t>
  </si>
  <si>
    <t>171/2463</t>
  </si>
  <si>
    <t xml:space="preserve">PSL </t>
  </si>
  <si>
    <t>TB PBM 898 2019/YDB6891 - TK CAKRAWALA XX 2023</t>
  </si>
  <si>
    <t>24,34/100,58</t>
  </si>
  <si>
    <t>2,5/0,4</t>
  </si>
  <si>
    <t>MV VIDI NO 1/PNRV</t>
  </si>
  <si>
    <t>MV GANADO EXPRESS/CQ2020</t>
  </si>
  <si>
    <t>TB TOB 23/YDA3269-TK MANALINE 9003</t>
  </si>
  <si>
    <t>2,70/0,8</t>
  </si>
  <si>
    <t>TB TNT SURGE/TK TNT GRIT2501</t>
  </si>
  <si>
    <t>22,01/73,15</t>
  </si>
  <si>
    <t>2,6/1,2</t>
  </si>
  <si>
    <t>MT PANCARAN INFINITY/YDPH2</t>
  </si>
  <si>
    <t>MV GREAT BLOSSOM/VRWG4</t>
  </si>
  <si>
    <t>MV BULK MUSTIQVE/D5VA7</t>
  </si>
  <si>
    <t>MV CASDA/ V7A7391</t>
  </si>
  <si>
    <t>MV VIBEKE IRIS/ 3EFB6</t>
  </si>
  <si>
    <t>TB SPGM 1289/ YDA3022 - TK MMSS 2502</t>
  </si>
  <si>
    <t>22/73</t>
  </si>
  <si>
    <t>2,5/1,6</t>
  </si>
  <si>
    <t>TB WLD 48/YDD3319 - TK LND 888</t>
  </si>
  <si>
    <t>27,10/87</t>
  </si>
  <si>
    <t>2,7/0,8</t>
  </si>
  <si>
    <t>TB MITRA KENCANA VI/ YDA3122 - TK SUMBER KENCANA 7</t>
  </si>
  <si>
    <t>21,74/80,76</t>
  </si>
  <si>
    <t>139/2560</t>
  </si>
  <si>
    <t>2,9/0,7</t>
  </si>
  <si>
    <t>MV WEALTH ATHENA /V7A7075</t>
  </si>
  <si>
    <t>TB LEO POWER 2203 /YDA3788 - TK LEO MARINE 3003</t>
  </si>
  <si>
    <t>3.6/0.8</t>
  </si>
  <si>
    <t>SPOB SOLID 5/ POOH</t>
  </si>
  <si>
    <t>TB EDRIC 1/YDA3116-TK KARUNIA KAPUAS MANDIRI 1</t>
  </si>
  <si>
    <t>11,00/50,00</t>
  </si>
  <si>
    <t>91/1431</t>
  </si>
  <si>
    <t>1.4/0.9</t>
  </si>
  <si>
    <t>TB PRIMA 8/YDA4708 - TK MARITIM 8</t>
  </si>
  <si>
    <t>4,2/4,5</t>
  </si>
  <si>
    <t>MV DOGAN / 9HA3153</t>
  </si>
  <si>
    <t>MV NOAH ASYERA/ YDWU2</t>
  </si>
  <si>
    <t xml:space="preserve">MV NORDIC MALMOE/D5KK8 </t>
  </si>
  <si>
    <t>MT MICHAEL 5/JZNE</t>
  </si>
  <si>
    <t>MV MSC BEIRA IV /D5OE7</t>
  </si>
  <si>
    <t>MV MINAMOTO/ 3EDC6</t>
  </si>
  <si>
    <t>MT STEN IDUN/ 5LKT8</t>
  </si>
  <si>
    <t>MT GLOBAL APOLLON/HPEV</t>
  </si>
  <si>
    <t>TB TRANSPAFICIC 66/ YDC4331 - TK INDO OCEAN 10</t>
  </si>
  <si>
    <t>22,08/62,43</t>
  </si>
  <si>
    <t>146/1382</t>
  </si>
  <si>
    <t>TB CITRA 57/ YDA3867 - TK CITRA 3009</t>
  </si>
  <si>
    <t>197/3065</t>
  </si>
  <si>
    <t>3,0/45</t>
  </si>
  <si>
    <t>TB KABAMA PERDANA/YDUZ - TK KALTARA SEJAHTERA</t>
  </si>
  <si>
    <t>30,82/96,56</t>
  </si>
  <si>
    <t>411/4170</t>
  </si>
  <si>
    <t>3,8/4,7</t>
  </si>
  <si>
    <t>TB AJATA PARENG 71YDB64 - TK TIMUR LAUT NO 1</t>
  </si>
  <si>
    <t>27,30/91,44</t>
  </si>
  <si>
    <t>183/2987</t>
  </si>
  <si>
    <t>2,8/4,2</t>
  </si>
  <si>
    <t>MT YOKOHAMA PIONEER/ D7JD</t>
  </si>
  <si>
    <t>MV DAIDAN PERTIWI/ YCP12</t>
  </si>
  <si>
    <t>MT SRIWANGI V/ 9V2324</t>
  </si>
  <si>
    <t>TB KIETRANS 80/ YDC3678 - TK STAR MARINE 3080</t>
  </si>
  <si>
    <t>216/3569</t>
  </si>
  <si>
    <t>3,20/0,8</t>
  </si>
  <si>
    <t>MV GHALA / 3FFKG</t>
  </si>
  <si>
    <t>MV SUPRA SOVEREIGN /5LQK7</t>
  </si>
  <si>
    <t>TB SRIKANDI BARUNA 2003/ YDD4017 - TK BARUNA POWER 3007</t>
  </si>
  <si>
    <t>28/4,6</t>
  </si>
  <si>
    <t>TB ALBATROSS 5/ YD5238 - TK FLAMINGGO 9</t>
  </si>
  <si>
    <t>26/66</t>
  </si>
  <si>
    <t>156/1737</t>
  </si>
  <si>
    <t>3,4/3,5</t>
  </si>
  <si>
    <t>MV NAVI SUN/ 3E7549</t>
  </si>
  <si>
    <t>MV BLOOM HALO/ 3E7737</t>
  </si>
  <si>
    <t>MT WENCHE VICTORY /LAEZ5</t>
  </si>
  <si>
    <t>TB SUMBER 29/ YDC3450 - TK LAYAR MAS 3019</t>
  </si>
  <si>
    <t>222/3023</t>
  </si>
  <si>
    <t>SLM</t>
  </si>
  <si>
    <t>TB KIETERANAS 60/YDA3458 - TK STAR MARINE 2560</t>
  </si>
  <si>
    <t>169/2223</t>
  </si>
  <si>
    <t>TB VIGILANT AQUARIUS 218/YDC6203 - TK AVANZA 313</t>
  </si>
  <si>
    <t>16/120</t>
  </si>
  <si>
    <t>41/265</t>
  </si>
  <si>
    <t>2,5/1,0</t>
  </si>
  <si>
    <t>TB DENY /YDB4956 - TK SKM 38</t>
  </si>
  <si>
    <t>29/58</t>
  </si>
  <si>
    <t>44/945</t>
  </si>
  <si>
    <t>MV MSC CANCUN IV/A8TR4</t>
  </si>
  <si>
    <t>MV MATSUSAKA/VRD47</t>
  </si>
  <si>
    <t>MV CL LUZHOU/V7A5821</t>
  </si>
  <si>
    <t>MT CHERRY TONDA/3E5303</t>
  </si>
  <si>
    <t>MT JABBAR ENERGY/YCOQ2</t>
  </si>
  <si>
    <t>TB MEGA 07/YDC4057 - TK STAR 6</t>
  </si>
  <si>
    <t>21,60/54,50</t>
  </si>
  <si>
    <t>87/798</t>
  </si>
  <si>
    <t>MT LAPETTA/YBDA2</t>
  </si>
  <si>
    <t>SPOB SRIKANDI 512/JZOT</t>
  </si>
  <si>
    <t>MV OCEAN TIDE/VRSK8</t>
  </si>
  <si>
    <t>TB MITRA JAYA XVIII/YDB4849 - TK METRO 16</t>
  </si>
  <si>
    <t>25,25/7800</t>
  </si>
  <si>
    <t>200/3242</t>
  </si>
  <si>
    <t>3,60/3,60</t>
  </si>
  <si>
    <t>MT SEYCHELLES PIONEER/S7SQ</t>
  </si>
  <si>
    <t>MT ARPEGGIO/9V5043</t>
  </si>
  <si>
    <t xml:space="preserve">TB CAHAYA SURYA 3A - TK TERATAI MERAH III </t>
  </si>
  <si>
    <t>26/90</t>
  </si>
  <si>
    <t>2,6/3,1</t>
  </si>
  <si>
    <t>TB PATIN LAUT/YDC4178-TK SM INDRA GIRI 338</t>
  </si>
  <si>
    <t>28,5/79,2</t>
  </si>
  <si>
    <t>219/2698</t>
  </si>
  <si>
    <t>2,7/4,0</t>
  </si>
  <si>
    <t>SPOB ANUGRAH 25/PMJH</t>
  </si>
  <si>
    <t>MT MK LION/3E6586</t>
  </si>
  <si>
    <t>MV GOLDEN DESTINY/YBNS2</t>
  </si>
  <si>
    <t>TB PATRIA 43/YDC4852 - TK PATRIA 3225</t>
  </si>
  <si>
    <t>TB MARI 001/YDD3284 - BG HAMA 8005</t>
  </si>
  <si>
    <t>231/3253</t>
  </si>
  <si>
    <t>KM SEJAHTERA 38/YDYJ3</t>
  </si>
  <si>
    <t xml:space="preserve"> TB STAR BRIGHT/9MQR5 - TK TNT GRIT 2502</t>
  </si>
  <si>
    <t>2,5/1,5</t>
  </si>
  <si>
    <t>MNP</t>
  </si>
  <si>
    <t>TB JKW MAHAKAM 7/YDB6793 - TK MBS 332</t>
  </si>
  <si>
    <t>28,04/96,56</t>
  </si>
  <si>
    <t>2,5/0,6</t>
  </si>
  <si>
    <t>TB KIETRANS 82/YDD3210 - TK STAR MARINE 3082</t>
  </si>
  <si>
    <t>29/78,87</t>
  </si>
  <si>
    <t>TB SATYA KENCANA 2305/YDC4797 - TK CITRA MANDIRI 2605</t>
  </si>
  <si>
    <t>23,81/79,24</t>
  </si>
  <si>
    <t>158/2160</t>
  </si>
  <si>
    <t>3,0/4,2</t>
  </si>
  <si>
    <t xml:space="preserve">KMP MUTIARA PERSADA III/PLMQ </t>
  </si>
  <si>
    <t>MV MSC GINA/3FLY9</t>
  </si>
  <si>
    <t>MT VELOCITY/5LUY5</t>
  </si>
  <si>
    <t>TB WIJAYA TRANS 28/YDB3601 - TK WIJAYA TRANS 228</t>
  </si>
  <si>
    <t>280/3113</t>
  </si>
  <si>
    <t>4,6/3,2</t>
  </si>
  <si>
    <t>MT ALTMAN/3E8568</t>
  </si>
  <si>
    <t>TB WILLIAM 5/YDB4714-TK ANUGRAH 23</t>
  </si>
  <si>
    <t>28/68</t>
  </si>
  <si>
    <t>131/1959</t>
  </si>
  <si>
    <t>2,3/3,8</t>
  </si>
  <si>
    <t>MV ABUSAMAH/YDJT</t>
  </si>
  <si>
    <t>TB BOJOMA 2911/YDC3937 - TK FLY POWER 3017</t>
  </si>
  <si>
    <t>258/3354</t>
  </si>
  <si>
    <t>3.0/6.0</t>
  </si>
  <si>
    <t xml:space="preserve">MV NUKU/PKOF </t>
  </si>
  <si>
    <t>MV FLORINDA/V7A2147</t>
  </si>
  <si>
    <t xml:space="preserve">TB SLM APOLLO 1/YDC4739-TK ARTEMI 1 </t>
  </si>
  <si>
    <t>239/3214</t>
  </si>
  <si>
    <t>3,3/3,2</t>
  </si>
  <si>
    <t xml:space="preserve">MV CLARITY 08/JZYA </t>
  </si>
  <si>
    <t>MV BELLE PLAINE/VRNA5</t>
  </si>
  <si>
    <t>PTS</t>
  </si>
  <si>
    <t>TB. PACIFIC TWO/YD3714-TK BULESKO IV</t>
  </si>
  <si>
    <t>27,92/87.84</t>
  </si>
  <si>
    <t>253/3129</t>
  </si>
  <si>
    <t>3,6-4,8</t>
  </si>
  <si>
    <t>TB. SRIKANDI BARUNA 2206/YDDY076-TK BARUNA POWER 3305</t>
  </si>
  <si>
    <t>3,9/0,6</t>
  </si>
  <si>
    <t xml:space="preserve">TB OSEANIK 06/YDB3027-TK MEL 02 </t>
  </si>
  <si>
    <t>21,50/79.24</t>
  </si>
  <si>
    <t>3,10/4,57</t>
  </si>
  <si>
    <t>TB SRIKANDI BARUNA 2004/YDD4065-TK BARUNA POWER 3008</t>
  </si>
  <si>
    <t>3,2/0,6</t>
  </si>
  <si>
    <t>TB BINTANG LAUT 241/YD3848-TK CHANDRA 301</t>
  </si>
  <si>
    <t>5,4/4,3</t>
  </si>
  <si>
    <t>MV YONG SHENG/5LMDS</t>
  </si>
  <si>
    <t>MT DYLAN/5LPJS</t>
  </si>
  <si>
    <t>TB MODA 2/YDB4528 - TK SUMBER PITA 2</t>
  </si>
  <si>
    <t>161/2005</t>
  </si>
  <si>
    <t>2,3/4,00</t>
  </si>
  <si>
    <t>MV WONDERFUL SW/H900</t>
  </si>
  <si>
    <t>MV SLM AIOLOS/YDUR3</t>
  </si>
  <si>
    <t>TB MACALLAN 6/GWQX5 - TK LAVITE</t>
  </si>
  <si>
    <t>2,9/2,5</t>
  </si>
  <si>
    <t>MT. JENNIFER DEWITA/YDSK3</t>
  </si>
  <si>
    <t xml:space="preserve">TB.SARAH I /YDD3288 - TK KUMALA 3001 </t>
  </si>
  <si>
    <t>MV LOCH LONG/3FCW</t>
  </si>
  <si>
    <t>MV.VESCO JUBILANT/3FEI5</t>
  </si>
  <si>
    <t>MV ANEMON/5LQ17</t>
  </si>
  <si>
    <t>MV ARTVIN/9HA2782</t>
  </si>
  <si>
    <t>MT CHAMPION CONTEST/LAEN8</t>
  </si>
  <si>
    <t>TB WIJAYA TRANS 38/YDC4995 - TK WIJAYA TRANS 238</t>
  </si>
  <si>
    <t>209/3530</t>
  </si>
  <si>
    <t>3,0/5,4</t>
  </si>
  <si>
    <t>TB KARYA PACIFIC 2259/YDC367 - TK PACIFIC STAR 8709</t>
  </si>
  <si>
    <t>MT HODAKA GALAXY/GV5146</t>
  </si>
  <si>
    <t>MT CORONA/3EPG8</t>
  </si>
  <si>
    <t>MV VIET THUAN 80-06/3E8855</t>
  </si>
  <si>
    <t>MV. ORIENTAL PEACE/3E7118</t>
  </si>
  <si>
    <t>MT. YONG SHENG 39/BPV15</t>
  </si>
  <si>
    <t>MV HTK PHOENIX/3WAY7</t>
  </si>
  <si>
    <t>MV. ILLOVE RIVER/VRGH4</t>
  </si>
  <si>
    <t>PKE</t>
  </si>
  <si>
    <t>MV BRAHMAN EXPRESS/LXFF</t>
  </si>
  <si>
    <t>206/2517</t>
  </si>
  <si>
    <t>TB OSCO IX/YD4540 - TK SWR 1801</t>
  </si>
  <si>
    <t>126/814</t>
  </si>
  <si>
    <t>2,4/1,2</t>
  </si>
  <si>
    <t>MV VENUS HISTORY/5BKT3</t>
  </si>
  <si>
    <t>MV CL BANYAN/9V8024</t>
  </si>
  <si>
    <t>KN KARAKATA/PKBC</t>
  </si>
  <si>
    <t>MT HURON/V7A6477</t>
  </si>
  <si>
    <t>MT DELONIX/5LL16</t>
  </si>
  <si>
    <t>MV LUZON STRAIT/VRCJ2</t>
  </si>
  <si>
    <t>KM LINTAS DAMAI 1/PNUL</t>
  </si>
  <si>
    <t>MV LIANSON ODYSSEY/5LYX7</t>
  </si>
  <si>
    <t>ASC</t>
  </si>
  <si>
    <t>MT MARINA OASIS/3EING</t>
  </si>
  <si>
    <t>MV KARIMATA STRAIT/YDAS4</t>
  </si>
  <si>
    <t xml:space="preserve">KMP MUTIARA BARAT / YBMC2 </t>
  </si>
  <si>
    <t>MT HARSANADI/YDXD2</t>
  </si>
  <si>
    <t>MT LUMBA-LUMBA II / YB3815</t>
  </si>
  <si>
    <t>TB SINAR RIAU 02/ YDC4734 - TK SAMUDRA JAYA 3002</t>
  </si>
  <si>
    <t>30,48/91,5</t>
  </si>
  <si>
    <t>293/3686</t>
  </si>
  <si>
    <t>MV OCEAN OUTSTANDING/VRRT7</t>
  </si>
  <si>
    <t>MV PUAN TONG</t>
  </si>
  <si>
    <t>MT AUDREY/PM2C</t>
  </si>
  <si>
    <t>ASN</t>
  </si>
  <si>
    <t>TB MARINA 1618/YDA3861 - TK MARINE POWER 3085</t>
  </si>
  <si>
    <t>24,34/91,44</t>
  </si>
  <si>
    <t>198/3352</t>
  </si>
  <si>
    <t>3,0/6,9</t>
  </si>
  <si>
    <t>SPOB PACIFIK TRADER 3/YB5443</t>
  </si>
  <si>
    <t>MV GENCO MARY/V7A5119</t>
  </si>
  <si>
    <t>MT ELORA 1/3E8725</t>
  </si>
  <si>
    <t>MV ALMA/V7XC8</t>
  </si>
  <si>
    <t>MT RM 9/HSB9682</t>
  </si>
  <si>
    <t>TB SRIKANDI BARUNA 2207/YDD4078 - TK BARUNA POWER 3306</t>
  </si>
  <si>
    <t>27/96,56</t>
  </si>
  <si>
    <t>3,0/4,9</t>
  </si>
  <si>
    <t>MV OCEAN GALAXY/5LTA2</t>
  </si>
  <si>
    <t>MV PRISCILLA/D5XA5</t>
  </si>
  <si>
    <t>MV AS SICILIA/CQLY2</t>
  </si>
  <si>
    <t>MV AQUITANIA/MAD6</t>
  </si>
  <si>
    <t>MV MS XT BELLONA/V7RV4</t>
  </si>
  <si>
    <t>MT SENSONI 2/YDJW3</t>
  </si>
  <si>
    <t>MT JOHNNY RANGER/ 5LEH2</t>
  </si>
  <si>
    <t>TB TOL LANDAK III/YDC4018</t>
  </si>
  <si>
    <t>TB MEGAH 1611/YDC3606-TK MMSS 711</t>
  </si>
  <si>
    <t>26/82,30</t>
  </si>
  <si>
    <t>192/2466</t>
  </si>
  <si>
    <t>2,8/1,9</t>
  </si>
  <si>
    <t>KBLI</t>
  </si>
  <si>
    <t>MT SEA TRADER/D7PF</t>
  </si>
  <si>
    <t>TB ONI XVII/YDD3114-TK ILIR JAYA I</t>
  </si>
  <si>
    <t>27/91,50</t>
  </si>
  <si>
    <t>222/3147</t>
  </si>
  <si>
    <t>MT ANARGYA I/YDDR2</t>
  </si>
  <si>
    <t>TB AMERTA 002/YDD3412 - TK AMERTA 8002</t>
  </si>
  <si>
    <t>231/3194</t>
  </si>
  <si>
    <t xml:space="preserve">SGM </t>
  </si>
  <si>
    <t>MT ALEJANDRO/YDRJ3</t>
  </si>
  <si>
    <t>TB PANCARAN 222/YDC6612</t>
  </si>
  <si>
    <t>TB LL MACAN TUTUL 02/YDA3865-TK LL 2517</t>
  </si>
  <si>
    <t>2,6/1,1</t>
  </si>
  <si>
    <t>TB SINAR MARINE/YDC4121-TK ARMADA KAPUAS 7</t>
  </si>
  <si>
    <t>21,95/78,08</t>
  </si>
  <si>
    <t>112/2198</t>
  </si>
  <si>
    <t xml:space="preserve">MT. TROMSO/C6XL5 </t>
  </si>
  <si>
    <t>TB. PACIFIC TWENTY SIX/YDC3656 - TK. PACIFIC 3026</t>
  </si>
  <si>
    <t>24,79/91,44</t>
  </si>
  <si>
    <t>TB. CITRA 05/YDA3214 - TK. CITRA 282</t>
  </si>
  <si>
    <t>27,23/85,95</t>
  </si>
  <si>
    <t>236/2896</t>
  </si>
  <si>
    <t>MV. SANTA VALENTINA/D5NFS</t>
  </si>
  <si>
    <t>TB.PATRIA 16/YDB3296-TK.ANAND 12</t>
  </si>
  <si>
    <t>26/91,42</t>
  </si>
  <si>
    <t>201/3913</t>
  </si>
  <si>
    <t>MT. ARIMBI/PODD</t>
  </si>
  <si>
    <t>MT SAPTA SAMUDRA / PNBE</t>
  </si>
  <si>
    <t>MV.KARTINI SAMUDRA/PKST</t>
  </si>
  <si>
    <t>MV DONG HE NO.2/3E6033</t>
  </si>
  <si>
    <t>KM INTAN 68/YDWO</t>
  </si>
  <si>
    <t>MT REDAMANCY/5LNL9</t>
  </si>
  <si>
    <t>12.8</t>
  </si>
  <si>
    <t>MT GEORGIO S/A8MN7</t>
  </si>
  <si>
    <t>19.6</t>
  </si>
  <si>
    <t>TB. MITRA KENCANA 7/YDA4196 - TK. SUMBER KENCANA 1</t>
  </si>
  <si>
    <t>24/62.43</t>
  </si>
  <si>
    <t>115/1373</t>
  </si>
  <si>
    <t>3.2/3.0</t>
  </si>
  <si>
    <t>CPKO</t>
  </si>
  <si>
    <t>23,6/80,7</t>
  </si>
  <si>
    <t>116/2558</t>
  </si>
  <si>
    <t>3,8/0,5</t>
  </si>
  <si>
    <t>KM MELLINA / YBAX2</t>
  </si>
  <si>
    <t>59.5</t>
  </si>
  <si>
    <t>MV. GANADO EXPRESS/CQ2020</t>
  </si>
  <si>
    <t>MT. GAS ARAR/JZFE</t>
  </si>
  <si>
    <t>MT ZILVIA/YDFX2</t>
  </si>
  <si>
    <t>MV XI YUAN/5LEG6</t>
  </si>
  <si>
    <t>MV TRANSFORMER OL/3EZY5</t>
  </si>
  <si>
    <t>MV APJ KAIS/AVPW</t>
  </si>
  <si>
    <t>MT DAPENGSHAN/5LVC8</t>
  </si>
  <si>
    <t>TB PANCARAN 510/YDA6686 - PST 510</t>
  </si>
  <si>
    <t>27/88</t>
  </si>
  <si>
    <t>230/3145</t>
  </si>
  <si>
    <t>3,0/3,8</t>
  </si>
  <si>
    <t>MV SF CHALISA/HSB8840</t>
  </si>
  <si>
    <t>TB BINTANG MUTIARA XXXV/YDC4133 - TK. USJ XVII</t>
  </si>
  <si>
    <t>24/81,08</t>
  </si>
  <si>
    <t>176/2924</t>
  </si>
  <si>
    <t>2,2/3,3</t>
  </si>
  <si>
    <t>TB JOHAN JAYA 177/YDC381 - TK KAPUAS JAYA 3019</t>
  </si>
  <si>
    <t>MT SANJIN 3025/5LBM8</t>
  </si>
  <si>
    <t>MT HENG HUI YONG TAI/5LLL8</t>
  </si>
  <si>
    <t>TB MITRA KENCANA/YD3055 - TK SUMBER KENCANA XV</t>
  </si>
  <si>
    <t>21,96/72,03</t>
  </si>
  <si>
    <t>103/1984</t>
  </si>
  <si>
    <t>3,1/4,2</t>
  </si>
  <si>
    <t>MV. RU YI II/9V7320</t>
  </si>
  <si>
    <t>TB.PRIMA POWER 05/YDA4790 - TK.PELITA 08</t>
  </si>
  <si>
    <t>MT.SHENG HANG 002/BPA59</t>
  </si>
  <si>
    <t>TB.MULTI 01/YDB3114 - TK.MULTI 3001</t>
  </si>
  <si>
    <t>26/70</t>
  </si>
  <si>
    <t>207/3037</t>
  </si>
  <si>
    <t>TB PANCARAN IV - 315 / YDA3793 - TK PMT IV - 315</t>
  </si>
  <si>
    <t>28/65</t>
  </si>
  <si>
    <t>142/1681</t>
  </si>
  <si>
    <t>KMP.MUTIARA FERINDO 2/YBQM2</t>
  </si>
  <si>
    <t>MV. DODO/9HA3311</t>
  </si>
  <si>
    <t>MT. CELESTE I/3E7491</t>
  </si>
  <si>
    <t>MV.MALLACA STRAIT/YDKEZ</t>
  </si>
  <si>
    <t>MV.SAMUDRA SAKTI III/YCZT2</t>
  </si>
  <si>
    <t>MV. SEA MELODY/V7A4602</t>
  </si>
  <si>
    <t>TB.MITRA KENCANA 16/YD3055 - TK.SUMBER KENCANA IV</t>
  </si>
  <si>
    <t>21,7/79</t>
  </si>
  <si>
    <t>2,7/3,6</t>
  </si>
  <si>
    <t>TB.MARINA1620/YDA33961 - TK.MARINA POWER 3046</t>
  </si>
  <si>
    <t>198/3300</t>
  </si>
  <si>
    <t>2,8/4.8</t>
  </si>
  <si>
    <t>MT. PIS ROKAN/YDVA3</t>
  </si>
  <si>
    <t>TB AMAZON HARBOUR/YDC4186</t>
  </si>
  <si>
    <t>ASISST</t>
  </si>
  <si>
    <t>22/100</t>
  </si>
  <si>
    <t>20/4249</t>
  </si>
  <si>
    <t>TB.MAX 10/YDC3729 - TK.MAX 8710</t>
  </si>
  <si>
    <t>MT.SOUTHERN FALCON/9V5474</t>
  </si>
  <si>
    <t>TB INTAN MEGAH I/YDA4552 - TK DEWI TABONEO</t>
  </si>
  <si>
    <t>28,6/91,5</t>
  </si>
  <si>
    <t>267/3093</t>
  </si>
  <si>
    <t>3,0/5,5</t>
  </si>
  <si>
    <t>MV.COREBEST OL/3FJY8</t>
  </si>
  <si>
    <t>8.14</t>
  </si>
  <si>
    <t>MT.DALMACIJA/9HA5381</t>
  </si>
  <si>
    <t>TB. CILEGON/YDA4136 - TK APOL 3008</t>
  </si>
  <si>
    <t>253/3122</t>
  </si>
  <si>
    <t>4,1/1,0</t>
  </si>
  <si>
    <t>TB.YAPEN II/YD6422 - TK.SANJAYA 2</t>
  </si>
  <si>
    <t>20/62</t>
  </si>
  <si>
    <t>116/1315</t>
  </si>
  <si>
    <t>2,4/0,5</t>
  </si>
  <si>
    <t>TB DUTA KAPUAS 18/YDB4485 - TK TUNAS JATRA 5</t>
  </si>
  <si>
    <t>24.92/79.06</t>
  </si>
  <si>
    <t>221/2918</t>
  </si>
  <si>
    <t>4.0/6.1</t>
  </si>
  <si>
    <t>MT MH KONPIRA S/T /3E7252</t>
  </si>
  <si>
    <t>MT. DING HENG 26/5LFF4</t>
  </si>
  <si>
    <t>MV.ATHENA/5LCN5</t>
  </si>
  <si>
    <t>MT.EVERHARD SCHULTE/9V8182</t>
  </si>
  <si>
    <t>MV.AYANA SMILE/DYHY</t>
  </si>
  <si>
    <t>MV.SDM TAICANG/5LKP4</t>
  </si>
  <si>
    <t>MV.TRANSINDO 8/PMXE</t>
  </si>
  <si>
    <t>TB.NUSA XII 2023/YDC6363 - TK.BG CAKRAWALA XVI 2023</t>
  </si>
  <si>
    <t>TB.SAMUDRA TIRTA/YDC4414 - TK.LAUTAN 2501</t>
  </si>
  <si>
    <t>27.8/73.3</t>
  </si>
  <si>
    <t>132/2008</t>
  </si>
  <si>
    <t>2.3/4.6</t>
  </si>
  <si>
    <t>SPOB BINTANG TIMUR 03/YB8719</t>
  </si>
  <si>
    <t>TB. MITRA 229/YDC4509 - TK WHS 2501</t>
  </si>
  <si>
    <t>22,10/73,15</t>
  </si>
  <si>
    <t>164/2212</t>
  </si>
  <si>
    <t>3,0/3,9</t>
  </si>
  <si>
    <t>MT.BLUE STAR 5/YCEP</t>
  </si>
  <si>
    <t>TB.BGM 01/YDB6834 - TK CAKRAWALA 20 2023</t>
  </si>
  <si>
    <t>28/105</t>
  </si>
  <si>
    <t>201/43338</t>
  </si>
  <si>
    <t>3,5/5,0</t>
  </si>
  <si>
    <t>MT ARGHA II/YCQL2</t>
  </si>
  <si>
    <t>MV.NEPTUNE/T2ZG4</t>
  </si>
  <si>
    <t>MT.ARCTIC TERN/9V9884</t>
  </si>
  <si>
    <t>TB.MAHAKARYA I/YDB6823 - TK. SBA 08</t>
  </si>
  <si>
    <t>26,31/87,34</t>
  </si>
  <si>
    <t>229/3258</t>
  </si>
  <si>
    <t>3,0/5.0</t>
  </si>
  <si>
    <t>MV.VIET THUAN 80-03/3E4704</t>
  </si>
  <si>
    <t>TB. MARTHA 1/YD2053 - TK.SENTANA INDAH</t>
  </si>
  <si>
    <t>29,40/87,79</t>
  </si>
  <si>
    <t>2,8/0,7</t>
  </si>
  <si>
    <t>MT.MAERSK BEAUFORT/9VAN3</t>
  </si>
  <si>
    <t>KM. HTS 38/YCWE2</t>
  </si>
  <si>
    <t>LBF</t>
  </si>
  <si>
    <t>TB.NOAH X/YDA3417 - TK.PSB 3017</t>
  </si>
  <si>
    <t>25,5/87,78</t>
  </si>
  <si>
    <t>236/3270</t>
  </si>
  <si>
    <t>5,0/6.0</t>
  </si>
  <si>
    <t>TB.SYAFIRA TWO/YDC3625 - TK.GANDA SARI 3001</t>
  </si>
  <si>
    <t>28/89,90</t>
  </si>
  <si>
    <t>3,0/4,48</t>
  </si>
  <si>
    <t>MT.AE GAS/PNIO</t>
  </si>
  <si>
    <t>TB.MITRA JAYA XXI/YDB4855 - TK.SAHABAT KAPUAS XX</t>
  </si>
  <si>
    <t>20.55/67.30</t>
  </si>
  <si>
    <t>2.7/0.9</t>
  </si>
  <si>
    <t>MT.MAC SINGAPORE/YDKX3</t>
  </si>
  <si>
    <t>MV.GRACE MILD/3FLL4</t>
  </si>
  <si>
    <t>14.1</t>
  </si>
  <si>
    <t>MT.JIU LI 669/BPDE6</t>
  </si>
  <si>
    <t>MT.DONG GUI 19/BPIB8</t>
  </si>
  <si>
    <t>MV.ABM ARAH/YDWG2</t>
  </si>
  <si>
    <t>TB.TRANS ENTRADA 3/YDC3772 - TK.ENTRADA 3002</t>
  </si>
  <si>
    <t>26/98</t>
  </si>
  <si>
    <t>MV. PGL 709/YDQR3</t>
  </si>
  <si>
    <t>SIGER INDO MARITIM</t>
  </si>
  <si>
    <t>MV.NORD ABIDJAN/V7A3036</t>
  </si>
  <si>
    <t>MT BLUE STAR 7/YDBC2</t>
  </si>
  <si>
    <t>TB TRANS PACIFIC 06/YDA6364 - TK AL AYUBI 01</t>
  </si>
  <si>
    <t>25,7/87,7</t>
  </si>
  <si>
    <t>205/3103</t>
  </si>
  <si>
    <t>TB.WECOY 7/YD3997 - TK.CAKRAWALA 3009</t>
  </si>
  <si>
    <t>245/3123</t>
  </si>
  <si>
    <t>3.8/4.6</t>
  </si>
  <si>
    <t>26.50/87.78</t>
  </si>
  <si>
    <t>234/3122</t>
  </si>
  <si>
    <t>TB SAHABAT KALIMANTAN 05/YDC4660 - TK SAHABAT KAPUAS MANDIRI XLII</t>
  </si>
  <si>
    <t>23,66/67,30</t>
  </si>
  <si>
    <t>110/1566</t>
  </si>
  <si>
    <t>1,5/4,27</t>
  </si>
  <si>
    <t>TB.PANDU JAYA PER II/YDB4664 - TK.SKU</t>
  </si>
  <si>
    <t>25/73,15</t>
  </si>
  <si>
    <t>190/2288</t>
  </si>
  <si>
    <t>3/3,9</t>
  </si>
  <si>
    <t>SPOB JUNA 4/YB4667</t>
  </si>
  <si>
    <t>MV.HUA RONG 26/BRAR</t>
  </si>
  <si>
    <t>MV. PACIFIC STAR/9M3905</t>
  </si>
  <si>
    <t>TB SUMBER MAKMUR 89/YDC4305 - TK MAKMUR ABADI VIII</t>
  </si>
  <si>
    <t>20,28/52,67</t>
  </si>
  <si>
    <t>3,2/3,0</t>
  </si>
  <si>
    <t>TB.MARINA 2255/YDC3946-TK.MARINA POWER 3077</t>
  </si>
  <si>
    <t>25/91,4</t>
  </si>
  <si>
    <t>244/3648</t>
  </si>
  <si>
    <t>2,8/1</t>
  </si>
  <si>
    <t>PUNAKAWAN SAMUDERA LINES</t>
  </si>
  <si>
    <t>MV.DARYA JIYA/V7A7047</t>
  </si>
  <si>
    <t>MV. DIAMOND STAR/3EXQ6</t>
  </si>
  <si>
    <t>MV.MSC NEW JERSEY III/5BNY6</t>
  </si>
  <si>
    <t>MV. FEDERAL OSAKA/D5WH8</t>
  </si>
  <si>
    <t>KLM.HARAPAN MAKMUR/POMS</t>
  </si>
  <si>
    <t xml:space="preserve">TB NUSA XVII/YDC6389 - TK CAKRAWALA XVIII </t>
  </si>
  <si>
    <t>26/100,5</t>
  </si>
  <si>
    <t>TB.ENORA BAY/YDC4905 - KAZEBO 02</t>
  </si>
  <si>
    <t>26,93/90,70</t>
  </si>
  <si>
    <t>222/4148</t>
  </si>
  <si>
    <t>3,6/0,8</t>
  </si>
  <si>
    <t>MT.DING HENG 19/BOUY3</t>
  </si>
  <si>
    <t>MV.ROYAL CHIBA/3FYE9</t>
  </si>
  <si>
    <t>13.0</t>
  </si>
  <si>
    <t>MT. ALGOMA ACADIAN/5LQP4</t>
  </si>
  <si>
    <t>MV. AFRICAN RAIL/5LOF7</t>
  </si>
  <si>
    <t>TB. GLOBAL MANDIRI/YDA4483</t>
  </si>
  <si>
    <t>TB.ALBATROSS 2/YD5226 - TK.FLAMINGGO 8</t>
  </si>
  <si>
    <t>24,05/67,30</t>
  </si>
  <si>
    <t>3,0/1,1</t>
  </si>
  <si>
    <t>TB.MAX 12/YDC6534-TK.MAX 8712</t>
  </si>
  <si>
    <t>29/76</t>
  </si>
  <si>
    <t>266/3668</t>
  </si>
  <si>
    <t>MV. WARIYA NAREE/HSCW</t>
  </si>
  <si>
    <t>KM. TAREX 1/PNAD</t>
  </si>
  <si>
    <t>TB.MASADA 27/YDB6892 - TK.MJL 301</t>
  </si>
  <si>
    <t>26,11/87,84</t>
  </si>
  <si>
    <t>222/3357</t>
  </si>
  <si>
    <t>MV. IONIAN/MKFO7</t>
  </si>
  <si>
    <t>MT. SINAR LABUAN/PMST</t>
  </si>
  <si>
    <t>MV. HONCHO/5LGA2</t>
  </si>
  <si>
    <t>MT. JKT MIRACLE/3E6712</t>
  </si>
  <si>
    <t>SPOB BUNGA TERATAI 2/YB6605</t>
  </si>
  <si>
    <t>MV. AGRIA/9HA2575</t>
  </si>
  <si>
    <t>MV. MSC REGINA/3FGF9</t>
  </si>
  <si>
    <t xml:space="preserve">TB PRIMA SAKTI I/YDB4774-TK PRIMA SAMUDRA I </t>
  </si>
  <si>
    <t>24,34/71,15</t>
  </si>
  <si>
    <t>198/2523</t>
  </si>
  <si>
    <t>2,2/0,5</t>
  </si>
  <si>
    <t>PSB</t>
  </si>
  <si>
    <t>TB TRANS ENTRADA 8/YDD3085 - TK ENTRDA 3003</t>
  </si>
  <si>
    <t>197/3395</t>
  </si>
  <si>
    <t>MV.MERCURY OCEAN/3ERR5</t>
  </si>
  <si>
    <t>MV.DA FU/3EFUL8</t>
  </si>
  <si>
    <t>TB.GONAYA XVIII/YDB6904 - TK.INTAN 7305</t>
  </si>
  <si>
    <t>217/3228</t>
  </si>
  <si>
    <t>TB.GS STAR 36/YDC4537 - TK.SRB 216</t>
  </si>
  <si>
    <t>25/91.44</t>
  </si>
  <si>
    <t>167/3271</t>
  </si>
  <si>
    <t>2,7/4,9</t>
  </si>
  <si>
    <t>MT.MED PACIFIC/9HA3257</t>
  </si>
  <si>
    <t>TB BSP XXXI/YDC3980 - TK BSP XXXII</t>
  </si>
  <si>
    <t>LCT.RADJA SAMUDERA ABADI/PKJQ</t>
  </si>
  <si>
    <t>ADIRA SHIPING MANAGMENT</t>
  </si>
  <si>
    <t>MT HARMONI SELATAN/YB5309</t>
  </si>
  <si>
    <t>KM.BWT LANGGENG 011/YDLN3</t>
  </si>
  <si>
    <t>MV.BULK GUATEMALA/3EXC4</t>
  </si>
  <si>
    <t>TB.BLUE DRAGON 38/YDB6021 - TK.SEA DRAGON 3038</t>
  </si>
  <si>
    <t>26,07/87,78</t>
  </si>
  <si>
    <t>3/5</t>
  </si>
  <si>
    <t>TB.ASINDO 001/YDA3237 - TK.SS 2501</t>
  </si>
  <si>
    <t>19,55/76,25</t>
  </si>
  <si>
    <t>MV.PUSRI INDONESIA/PLZR</t>
  </si>
  <si>
    <t>MT. SHENG HANG 009/BPKY9</t>
  </si>
  <si>
    <t>TB.VICTORY 2016/YD3009 - TK.PSB 3015</t>
  </si>
  <si>
    <t>222/3417</t>
  </si>
  <si>
    <t>2,9/0,9</t>
  </si>
  <si>
    <t>TB. KIETRANS 22/YD3375 - TK. STAR MARINE 3006</t>
  </si>
  <si>
    <t>27/91,4</t>
  </si>
  <si>
    <t>211/8514</t>
  </si>
  <si>
    <t>3,7/4,9</t>
  </si>
  <si>
    <t>TB. UNIVERSAL ML 9603 / YDA4090 -. TK. KAN IV</t>
  </si>
  <si>
    <t>21,12/75</t>
  </si>
  <si>
    <t>110/1410</t>
  </si>
  <si>
    <t>2,2/3,15</t>
  </si>
  <si>
    <t>KM.GOLDEN COW 1/YDCH</t>
  </si>
  <si>
    <t>MV. NAVI SUN/3E7549</t>
  </si>
  <si>
    <t>MV. IKAN BELIAK/9VAT6</t>
  </si>
  <si>
    <t>MV.SHEN HUA 801/BRLA</t>
  </si>
  <si>
    <t>22.50/76</t>
  </si>
  <si>
    <t>2.8/3.1</t>
  </si>
  <si>
    <t>MT.JIAN HONG FENG DA/BPPB3</t>
  </si>
  <si>
    <t>TB. GLOBAL M XXIV/YDB4578 - TK. ELANG JAWA 1</t>
  </si>
  <si>
    <t>23/67,5</t>
  </si>
  <si>
    <t>ABL</t>
  </si>
  <si>
    <t>TB.DOLPHIN 68/YDC4870 - TK PRATAMA JAYA 3005</t>
  </si>
  <si>
    <t>25/84</t>
  </si>
  <si>
    <t>175/3060</t>
  </si>
  <si>
    <t>MT ARDMORE DEFENDER/V7HS5</t>
  </si>
  <si>
    <t>TB.WIDMARINE 7/YDA3470 - TK. GOLDEN WES 2307</t>
  </si>
  <si>
    <t>22,03/67,30</t>
  </si>
  <si>
    <t>2,55/3,656</t>
  </si>
  <si>
    <t>WJL</t>
  </si>
  <si>
    <t>TB.MARINA 21/YD3310 - TK.PERMATA PLA 3310</t>
  </si>
  <si>
    <t>27,36/96</t>
  </si>
  <si>
    <t>214/4170</t>
  </si>
  <si>
    <t>TB.KIETRANS 6/YDB3120 - TK.STAR MARINE 3006</t>
  </si>
  <si>
    <t>218/3568</t>
  </si>
  <si>
    <t>MV. YIN NING/PBJO</t>
  </si>
  <si>
    <t>MT.HUANG HUAI /BPXV9</t>
  </si>
  <si>
    <t>MV. BUNGA MELATI 51/YBGS2</t>
  </si>
  <si>
    <t>MT. MEGHNA TRADER/S2AR3</t>
  </si>
  <si>
    <t>TB.ALPHA III/YDC4209 - TK BG MERLIN II</t>
  </si>
  <si>
    <t>101/1588</t>
  </si>
  <si>
    <t>MV. DIONI/CQ2262</t>
  </si>
  <si>
    <t>ADHIKA SAMUDERA JAYA</t>
  </si>
  <si>
    <t>TB.CBR 02/Y3A5105 - TK. RW 8</t>
  </si>
  <si>
    <t>KM NELLY A100/YDXL3</t>
  </si>
  <si>
    <t>TB.DEL 02/YDB4046 - TK.BKT 305</t>
  </si>
  <si>
    <t>26,5/87,78</t>
  </si>
  <si>
    <t>167/3305</t>
  </si>
  <si>
    <t>TB.CAPRICORN 122/YDA3883 - TK.CAPRICORN 161</t>
  </si>
  <si>
    <t>3.1/5.1</t>
  </si>
  <si>
    <t>MV. MARAN COURAGE/SVBR6</t>
  </si>
  <si>
    <t>TB TRITON 02/YDC4740 - TK TRITON 8702</t>
  </si>
  <si>
    <t>25,75/87,74</t>
  </si>
  <si>
    <t>TB MARINA 2258/YDC3948 - TK MARINE POWER 3052</t>
  </si>
  <si>
    <t>29/92</t>
  </si>
  <si>
    <t>ABS</t>
  </si>
  <si>
    <t>TB.KIETRANS 28/YDA3323 - TK.STAR MARINE 3005</t>
  </si>
  <si>
    <t>22/87,78</t>
  </si>
  <si>
    <t>222/3203</t>
  </si>
  <si>
    <t>MV.DARYA GOMTI/V7A5263</t>
  </si>
  <si>
    <t>TB. ANUGERAH 8/YDA4791 - TK.SENTOSA JAYA 3009</t>
  </si>
  <si>
    <t>25/87,8</t>
  </si>
  <si>
    <t>167/3236</t>
  </si>
  <si>
    <t>TB. CELEBES SEJATI 01/YDC4008 - TK. BAHTERA 3005</t>
  </si>
  <si>
    <t>TB.MARINA 2230/YDC3439 - TK.MARINE POWER 3078</t>
  </si>
  <si>
    <t>MV.MANAMI CORAL /3E2644</t>
  </si>
  <si>
    <t>TB.SATYA KENCANA 2305/YDC4797 - TK.CITRA MANDIRI 2605</t>
  </si>
  <si>
    <t>2,9/4,2</t>
  </si>
  <si>
    <t>TB. MDM BATOLA/YD5168 - TK. MDM 4</t>
  </si>
  <si>
    <t>30/91.5</t>
  </si>
  <si>
    <t>245/3346</t>
  </si>
  <si>
    <t>3.6/4.7</t>
  </si>
  <si>
    <t>TB. TERUS DAYA 97 - TK. NAP 820</t>
  </si>
  <si>
    <t>28/87,3</t>
  </si>
  <si>
    <t>285/3705</t>
  </si>
  <si>
    <t>3,8/0,85</t>
  </si>
  <si>
    <t>MV.GOLDEN MARINE/HOEI</t>
  </si>
  <si>
    <t>TB.CAHAYA VARUNA 1/YDC4871 - TK.TERATAI JINGGA 1</t>
  </si>
  <si>
    <t>25,3/79,8</t>
  </si>
  <si>
    <t>MT.CHEMTRANS MOBILE/V7OF7</t>
  </si>
  <si>
    <t>TB.TRANS POWER 213/YDA4989 - TK.GOLD TRANS 331</t>
  </si>
  <si>
    <t>29/96</t>
  </si>
  <si>
    <t>263/4186</t>
  </si>
  <si>
    <t>3,7/5</t>
  </si>
  <si>
    <t>TB.LL SYUKUR /YDC4267 - TK LL MESSI</t>
  </si>
  <si>
    <t>21,8/70,2</t>
  </si>
  <si>
    <t>2,,6/1,5</t>
  </si>
  <si>
    <t>TB.LINTAS SAMUDERA 103/YDB6909 - TK LINTAS SAMUDERA 136</t>
  </si>
  <si>
    <t>216/3124</t>
  </si>
  <si>
    <t>4,0/5,4</t>
  </si>
  <si>
    <t>TB.SATYA KENCANA 2302/YDC4235 - TK.CITRA MANDIRI 2602</t>
  </si>
  <si>
    <t>3,7/3,9</t>
  </si>
  <si>
    <t>TB.MTS 29/YDC4138 - TK.INDOSUKSES 29</t>
  </si>
  <si>
    <t>283/4223</t>
  </si>
  <si>
    <t>SPOB. ELISABETH 06/YB6911</t>
  </si>
  <si>
    <t>KM.INDO DARMA 9/YHDT</t>
  </si>
  <si>
    <t>MT.UM YOSHINO/3E8698</t>
  </si>
  <si>
    <t>TB.MARINA 1626/YDB3117 - TK.MARINE POWER 2707</t>
  </si>
  <si>
    <t>26/85</t>
  </si>
  <si>
    <t>183/2252</t>
  </si>
  <si>
    <t>3.2/4,0</t>
  </si>
  <si>
    <t>MV.STAR MACARENA /D5LD7</t>
  </si>
  <si>
    <t>SPOB.ANUGERAH PERDANA 25/PMJH</t>
  </si>
  <si>
    <t>MV.UNION LUCK/3E3972</t>
  </si>
  <si>
    <t>TB.ANAK LAUT 99 /YDC4017 - TK MULIA MANDIRI II</t>
  </si>
  <si>
    <t>17/52</t>
  </si>
  <si>
    <t>39/806</t>
  </si>
  <si>
    <t>TB.OSEANIK 01/YDC4101 - TK. MEL 05</t>
  </si>
  <si>
    <t>23.5/79</t>
  </si>
  <si>
    <t>155/2198</t>
  </si>
  <si>
    <t>MV.LEYLA AKSOY/9HA5665</t>
  </si>
  <si>
    <t>MT.SHENG HANG TIAO ZHAN/BPOO4</t>
  </si>
  <si>
    <t>12.9</t>
  </si>
  <si>
    <t>MT.DALMA/V7CT6</t>
  </si>
  <si>
    <t>TB.KARYA PACIFIC 2235/YDC3465 - TK.PACIFIC STAR 8705</t>
  </si>
  <si>
    <t>207/3568</t>
  </si>
  <si>
    <t>3,2/0.6</t>
  </si>
  <si>
    <t>PUTRA MITRA NIAGA PACIFIC</t>
  </si>
  <si>
    <t>MV.VIDI NO1/PNRV</t>
  </si>
  <si>
    <t>MV MATHILDE OLDENDRORFF/D5FA5</t>
  </si>
  <si>
    <t>TB.SING SING 18/YDA4002 - TK.KAN 1</t>
  </si>
  <si>
    <t>21/72</t>
  </si>
  <si>
    <t>117/1461</t>
  </si>
  <si>
    <t>2,2/3,5</t>
  </si>
  <si>
    <t>TB VARIA USAHA 10/YDB4254 - TK LINTAS SEGARA 18</t>
  </si>
  <si>
    <t>24,97/97,78</t>
  </si>
  <si>
    <t>MV.INTAN DAYA 4/YHQD</t>
  </si>
  <si>
    <t>SIGER SAMUDERA SHIPPING</t>
  </si>
  <si>
    <t>TB.NUSA XXXVI 2024/YDD3118 -TK.CAKRAWALA XXVIII 2024</t>
  </si>
  <si>
    <t>20/91</t>
  </si>
  <si>
    <t>254/1315</t>
  </si>
  <si>
    <t>TB.REGINA II/YDC4842 - TK.ASKARA JAYA II</t>
  </si>
  <si>
    <t>31/98</t>
  </si>
  <si>
    <t>3,8/0,8</t>
  </si>
  <si>
    <t>TB. AJATAPARENG 7/YDB018410 - TIMUR LAUT 01</t>
  </si>
  <si>
    <t>27,3/91</t>
  </si>
  <si>
    <t>2,7/0,80</t>
  </si>
  <si>
    <t>TB.KIETRANS 27/YDA3300 - TK.STAR MARINE 3033</t>
  </si>
  <si>
    <t>2,6/0,66</t>
  </si>
  <si>
    <t>TB.SPGM 1289/YDA3022-TK.MMSS2502</t>
  </si>
  <si>
    <t>22,39/73,15</t>
  </si>
  <si>
    <t>137/2.013</t>
  </si>
  <si>
    <t>3/4,0</t>
  </si>
  <si>
    <t>PT. TOTALINDO MARINE SERVICES</t>
  </si>
  <si>
    <t>TB.SABANG 55/YDA4480 - TK.SUMBER JAYA 2750</t>
  </si>
  <si>
    <t>MV.BADGER/5LHW4</t>
  </si>
  <si>
    <t>TB.SAMUDRA AGUNG 189/YDA3386 - TK.RIMAU 2506</t>
  </si>
  <si>
    <t>147/2013</t>
  </si>
  <si>
    <t>MV. SINAR SEJATI 2/POGP</t>
  </si>
  <si>
    <t>MT AS GOLDEN MERCURY/YDSZ2</t>
  </si>
  <si>
    <t xml:space="preserve">TB.MARINA 2211/YDB3005 - TK MARINE POWER 3057 </t>
  </si>
  <si>
    <t>3,2/5,2</t>
  </si>
  <si>
    <t>TB.KIE TRANS 81/YDC3973 - TK.STAR MARINE 3081</t>
  </si>
  <si>
    <t>3,1/0,6</t>
  </si>
  <si>
    <t>MT.PVT SOLANA/3E6050</t>
  </si>
  <si>
    <t>MV.MENANG JAYA/YDZI</t>
  </si>
  <si>
    <t>MV.BBC AQUAMARINE/VZFM2</t>
  </si>
  <si>
    <t>TB.HASNUR 06/YD3748-TK.HASNUR 331</t>
  </si>
  <si>
    <t>30/91,33</t>
  </si>
  <si>
    <t>272/3.078</t>
  </si>
  <si>
    <t xml:space="preserve">TB.MARINA 2215/YDB3030 - TK MARINE POWER 3062 </t>
  </si>
  <si>
    <t>232/3349</t>
  </si>
  <si>
    <t>3,5/5,1</t>
  </si>
  <si>
    <t>MT.PANCARAN INTEGRITY/YDII2</t>
  </si>
  <si>
    <t>KFS</t>
  </si>
  <si>
    <t>TB.PANCARAN III 715/YDA3802 - TK. PMT III 715</t>
  </si>
  <si>
    <t>23,5/69,64</t>
  </si>
  <si>
    <t>141/1684</t>
  </si>
  <si>
    <t>2,6/0.8</t>
  </si>
  <si>
    <t>MT.GLOBAL NEPTUNE/3FAR6</t>
  </si>
  <si>
    <t>TB.BOMAS GENIUS/YDA4334 - TK.SIMTRANS 339</t>
  </si>
  <si>
    <t>24,6/103,3</t>
  </si>
  <si>
    <t>249/4865</t>
  </si>
  <si>
    <t>4,3/5,2</t>
  </si>
  <si>
    <t>MV.ANTWERPIA/V7XE4</t>
  </si>
  <si>
    <t>TB.BUANA GLORY/YD3851 - TK.PROFIT 928</t>
  </si>
  <si>
    <t>18,9/58,46</t>
  </si>
  <si>
    <t>MV.GUO HAI LIAN 638/VRNR9</t>
  </si>
  <si>
    <t>MV.WONDERFUL SW/H900</t>
  </si>
  <si>
    <t>TB.FORTUNA 110/YDD3132 - TK.FORTUNA 3005</t>
  </si>
  <si>
    <t>4,1/0,3</t>
  </si>
  <si>
    <t>MV.PUGET SOUND/VRDD9</t>
  </si>
  <si>
    <t>MT.SC CHONGQING/VR127</t>
  </si>
  <si>
    <t>MV.WADI FAREN/6AGR</t>
  </si>
  <si>
    <t>MV.INTAN DAYA 17/YBUK2</t>
  </si>
  <si>
    <t>AMN</t>
  </si>
  <si>
    <t>TB.ROYAL TB 27/YDB4717 - TK. ROYAL 27</t>
  </si>
  <si>
    <t>23,5/67,3</t>
  </si>
  <si>
    <t>2,8/1,3</t>
  </si>
  <si>
    <t>TB.SML 08A/YDD3233 - TK.SML 3302A</t>
  </si>
  <si>
    <t>28,5/96</t>
  </si>
  <si>
    <t>279/4839</t>
  </si>
  <si>
    <t>4,2/6,1</t>
  </si>
  <si>
    <t>MV.THEMIS PETRAKIS/V7A5571</t>
  </si>
  <si>
    <t>TB.TRANS POWER 208/YDCB - TK.GOLD TRANS 333</t>
  </si>
  <si>
    <t>249/3233</t>
  </si>
  <si>
    <t>MV.AMALIA/V7A5386</t>
  </si>
  <si>
    <t>MV.GREEN DELTA/WELQ</t>
  </si>
  <si>
    <t>TB.APN 88/YD4865 - TK APN 3022</t>
  </si>
  <si>
    <t xml:space="preserve">202/3400 </t>
  </si>
  <si>
    <t>TB.SPEEDWELL/YDB4456 - TK.GURITA 3003</t>
  </si>
  <si>
    <t>28,05/91,44</t>
  </si>
  <si>
    <t>256/3249</t>
  </si>
  <si>
    <t>4,3/5,4</t>
  </si>
  <si>
    <t>TB.PASIFIC STAR III/YDB4997-TK.MAKMUR ABADI IV</t>
  </si>
  <si>
    <t>18,67/61,87</t>
  </si>
  <si>
    <t>63/1.099</t>
  </si>
  <si>
    <t>2,4/3,0</t>
  </si>
  <si>
    <t>MV.CHARIKLI JUNIOR/D5AL4</t>
  </si>
  <si>
    <t>MT.NAN LIAN 006/BAWZ9</t>
  </si>
  <si>
    <t>TB.MTS 61/YDC4554 - TK.INDO SUKSES 61</t>
  </si>
  <si>
    <t>26/89</t>
  </si>
  <si>
    <t>209/4261</t>
  </si>
  <si>
    <t>TB.BARUNA SUKSES 231/TK.HARMONI SUKSES 261</t>
  </si>
  <si>
    <t>21,60/79</t>
  </si>
  <si>
    <t>3/4</t>
  </si>
  <si>
    <t>TB. SYAFIRA ONE /YDA3945 - TK. GANDASARI 3006</t>
  </si>
  <si>
    <t>187/2163</t>
  </si>
  <si>
    <t>3.0/0.70</t>
  </si>
  <si>
    <t>CAHAYA TELUK LAMPUNG</t>
  </si>
  <si>
    <t>MT.BSP XXX/YDVV3</t>
  </si>
  <si>
    <t>KM.DAIEI/JZAX</t>
  </si>
  <si>
    <t>TB.SML 07A/YDD3210 - TK.SML 3009A</t>
  </si>
  <si>
    <t>26,72/87,78</t>
  </si>
  <si>
    <t>279/3.721</t>
  </si>
  <si>
    <t>3/3,1</t>
  </si>
  <si>
    <t>MV.CHINA PRIDE/VKFO9</t>
  </si>
  <si>
    <t>TB.ALBANY 1/YDB4599 - TK.MITRA ABADI 7</t>
  </si>
  <si>
    <t>135/2280</t>
  </si>
  <si>
    <t>2,2/3,9</t>
  </si>
  <si>
    <t xml:space="preserve">TB.CITRA 56/YDA3818 - TK CITRA 3005 </t>
  </si>
  <si>
    <t>TB.CAVALO MARINHO 09 /YDB3090 - TK METRO 0535</t>
  </si>
  <si>
    <t>23/70</t>
  </si>
  <si>
    <t>136/1315</t>
  </si>
  <si>
    <t>1,8/2,0</t>
  </si>
  <si>
    <t>PV. PHONIX CORAL/3E4567</t>
  </si>
  <si>
    <t>MT.CHAMPION CONTEST/LAEN8</t>
  </si>
  <si>
    <t>MT.STAR VALIANT/YBOZ2</t>
  </si>
  <si>
    <t>TB.TUNAS PERKASA II/YDB4946 - TK.SAHABAT KAPUAS V</t>
  </si>
  <si>
    <t>22,52/52,67</t>
  </si>
  <si>
    <t>71/925</t>
  </si>
  <si>
    <t>MV.CAPTAIN LUCAS/3E8291</t>
  </si>
  <si>
    <t>TB.EXPLORER 3/YDD3093 - TK.PACIFIC STAR 3</t>
  </si>
  <si>
    <t>TB.LIBERTY 28/LBRTY28 - TK.AZAMARA 3058</t>
  </si>
  <si>
    <t>28/91,50</t>
  </si>
  <si>
    <t>236/3730</t>
  </si>
  <si>
    <t>3,6/0,6</t>
  </si>
  <si>
    <t>MV.METEORA/ZCTB8</t>
  </si>
  <si>
    <t>MV.TY XU RUI/3E5403</t>
  </si>
  <si>
    <t>MV.LUCKY WEALTH/V3IU2</t>
  </si>
  <si>
    <t>TB.PBM 898 2019/YDB6891 - TK.CAKRAWALA XX</t>
  </si>
  <si>
    <t>2,5/1,3</t>
  </si>
  <si>
    <t>TB.SPAJ 017 / TK.SKB 5</t>
  </si>
  <si>
    <t>87/1013</t>
  </si>
  <si>
    <t>2,0/3,8</t>
  </si>
  <si>
    <t>KM. SUKSES ABADI 88/POZF</t>
  </si>
  <si>
    <t>MV.PUL MANDIRI / YFWW</t>
  </si>
  <si>
    <t>84.24</t>
  </si>
  <si>
    <t>MT. GIANNA /3E5410</t>
  </si>
  <si>
    <t>MV.CRYSTAL ETERNITY/5LQV5</t>
  </si>
  <si>
    <t>MT.BRAVO 1/5IM994</t>
  </si>
  <si>
    <t>TB.SINLINE 3/9WK57 - TK.SHENG YONG 2501</t>
  </si>
  <si>
    <t>110/1979</t>
  </si>
  <si>
    <t>2,97/488</t>
  </si>
  <si>
    <t>TB.DUTA KAPUAS 19/YDA4965 - TK.KAPUAS 265</t>
  </si>
  <si>
    <t>MT.NORD MATE/3E8867</t>
  </si>
  <si>
    <t>KM.CARAKA JAYA N III-11/YEWT</t>
  </si>
  <si>
    <t>TB.PULAU MASA III/YDC4437 - TK.MAKMUR ABADI 20</t>
  </si>
  <si>
    <t>14/65</t>
  </si>
  <si>
    <t>62/1062</t>
  </si>
  <si>
    <t>4/3</t>
  </si>
  <si>
    <t>MV.CAPE HUNDSON/KMJN</t>
  </si>
  <si>
    <t>TB.MITRA JAYA XIX/YDB4851 - TK.SAHABAT KAPUAS MANDIRI XL</t>
  </si>
  <si>
    <t>23/61,45</t>
  </si>
  <si>
    <t>MT.FALCON MAJESTIC/9V5389</t>
  </si>
  <si>
    <t>MV.LILA FUJI /5LNX5</t>
  </si>
  <si>
    <t>MV.CAPE SATSUKI/5LMC8</t>
  </si>
  <si>
    <t>TB.SURYA PERKASA 202 / YDB4467 - TK KAHURIPAN 302</t>
  </si>
  <si>
    <t>MT.CAVALO MARINHO 15/YDQV3</t>
  </si>
  <si>
    <t>SPOB.PROSPHER THREE/PNHE</t>
  </si>
  <si>
    <t>BAMA PUTRA SUKSES</t>
  </si>
  <si>
    <t>MV.NEPTUNE ISLAND/VRUH3</t>
  </si>
  <si>
    <t>PENASCOP</t>
  </si>
  <si>
    <t>KT.BATAVIA II-216</t>
  </si>
  <si>
    <t>TB.BINA MARINE 97/YD3990 - TK.NUSANATARA 3003</t>
  </si>
  <si>
    <t>27,7/91,4</t>
  </si>
  <si>
    <t>260/3256</t>
  </si>
  <si>
    <t>3,5/4,5</t>
  </si>
  <si>
    <t>TB.EDRIC 1/YDA3116 - TK.KARUNIA KAPUAS MANDIRI 1</t>
  </si>
  <si>
    <t>18/58</t>
  </si>
  <si>
    <t>92/1421</t>
  </si>
  <si>
    <t>1,2/3,8</t>
  </si>
  <si>
    <t>MT.TIVY GOLD/5LJH7</t>
  </si>
  <si>
    <t>MV.ANUGRAH BUANA IX/YDVO3</t>
  </si>
  <si>
    <t>TB TRANS PACIFIC 55/YD5368 - BG INDO OCEAN MARINE VII</t>
  </si>
  <si>
    <t>2,6/3,4</t>
  </si>
  <si>
    <t>TB.PRIMA 8/YDA4708 - TK.MARITIME 8</t>
  </si>
  <si>
    <t>27/87,7</t>
  </si>
  <si>
    <t>SPOB.ATHAMARA/PNYW</t>
  </si>
  <si>
    <t>MV.JADE/V7A56</t>
  </si>
  <si>
    <t>TB.KIE TRANS 85/YDD3241</t>
  </si>
  <si>
    <t>3,0/3,6</t>
  </si>
  <si>
    <t>TB.GLOBAL MANDIRI 16/YDB4336 - TK.CATHERIN 05</t>
  </si>
  <si>
    <t>21,64/67,30</t>
  </si>
  <si>
    <t>106/1604</t>
  </si>
  <si>
    <t>SPOB BARUNA 1/YDA6108</t>
  </si>
  <si>
    <t>MV.TROGIR/9A7311</t>
  </si>
  <si>
    <t>MT.NORD MAVERICK/OUNL2</t>
  </si>
  <si>
    <t>MV.ABM ILJIN/YCL52</t>
  </si>
  <si>
    <t>MV.DARYA PRIYA/V7A3458</t>
  </si>
  <si>
    <t>BUMI LAUT SHIPPING SERVICE</t>
  </si>
  <si>
    <t>TB.SSP 01/YDC6339 - TK SSP 3001</t>
  </si>
  <si>
    <t>29/80</t>
  </si>
  <si>
    <t>247/3180</t>
  </si>
  <si>
    <t>SPOB DELTA VICTORY 08/YBIK2</t>
  </si>
  <si>
    <t>MV.MONING/3FVM2</t>
  </si>
  <si>
    <t>TB.AREK SUROBOYO 02/YDA3587 - TK.BOS 2</t>
  </si>
  <si>
    <t>146/2023</t>
  </si>
  <si>
    <t>KLM.RAHIM JY MANDIRI IV/YDPC3</t>
  </si>
  <si>
    <t>TB.TERUS DAYA 47/YD3868 - TK.NAP 324</t>
  </si>
  <si>
    <t>MV.SORSI/9V3205</t>
  </si>
  <si>
    <t>TB SARAH I/YD03288/TK KUMALA 3001</t>
  </si>
  <si>
    <t>209/3511</t>
  </si>
  <si>
    <t>4/5.0</t>
  </si>
  <si>
    <t>KLM.BERKAT NIKMAT HATI</t>
  </si>
  <si>
    <t>TB.PATIN LAUT/YDC4178 - TK.SM INDRAGIRI 338</t>
  </si>
  <si>
    <t>28,5/79,27</t>
  </si>
  <si>
    <t>3,6/4,67</t>
  </si>
  <si>
    <t>TB.PACIFIC STAR 1/YDC4161 - TK.MITRA MANDIRI 05</t>
  </si>
  <si>
    <t>20,6/64,3</t>
  </si>
  <si>
    <t>2,6/3,2</t>
  </si>
  <si>
    <t>LAUTAN MULYA PURNAMA</t>
  </si>
  <si>
    <t>MT LAPETTA/ YBAA2</t>
  </si>
  <si>
    <t>MT.DING HENG 5/BPIQ8</t>
  </si>
  <si>
    <t>TB.BINA OCEAN 20/YD3658-TK.BINA MARINE 52</t>
  </si>
  <si>
    <t>282/3267</t>
  </si>
  <si>
    <t>3,2/2,3</t>
  </si>
  <si>
    <t>PLS</t>
  </si>
  <si>
    <t>MV.OCEAN PHOENIX/YDQT3</t>
  </si>
  <si>
    <t>MV.KEIO CORAL/DYMZ</t>
  </si>
  <si>
    <t>MV.ASIKE GLOBAL/POOT</t>
  </si>
  <si>
    <t>MV.DH EPOCH/EFIB6</t>
  </si>
  <si>
    <t>MV.MARIELENA/A8MN6</t>
  </si>
  <si>
    <t>MV.MONALISA DUA/PNGC</t>
  </si>
  <si>
    <t>SPOB PACIFIC TRADER/ YB5443</t>
  </si>
  <si>
    <t>MT VITALITY/3E4004</t>
  </si>
  <si>
    <t>182.55</t>
  </si>
  <si>
    <t>TB. KABAMA PERDANA/YDUZ - TK. KALTARA SEJAHTERA</t>
  </si>
  <si>
    <t>TB.JOHAN JAYA 131/YDB4451 - TK.KAPUAS JAYA 331</t>
  </si>
  <si>
    <t>27,7/97,2</t>
  </si>
  <si>
    <t>3,1/0,8</t>
  </si>
  <si>
    <t>TB.SENGGORAESCORT/YDA3576 - TK.SENGORA CRYSTAL</t>
  </si>
  <si>
    <t>26/82</t>
  </si>
  <si>
    <t>199/2745</t>
  </si>
  <si>
    <t>2,5/4,3</t>
  </si>
  <si>
    <t>TB.OSEANIK 06/YDB3027 - TK OB MIL 02</t>
  </si>
  <si>
    <t>41,5/79,24</t>
  </si>
  <si>
    <t>2/2,4</t>
  </si>
  <si>
    <t>MT.ALEJANDRO/YDRJ3</t>
  </si>
  <si>
    <t>TB.HECTOR 106/YDA6991-TK.PMS 201</t>
  </si>
  <si>
    <t>21.61/82.30</t>
  </si>
  <si>
    <t>200/2140</t>
  </si>
  <si>
    <t>MV.DUYEN HAI 1/3FVE9</t>
  </si>
  <si>
    <t>TB YANG VITI XI/YD6598 - TK TOTO XII</t>
  </si>
  <si>
    <t>25/98,28</t>
  </si>
  <si>
    <t>137/5133</t>
  </si>
  <si>
    <t>MV.AFRICAN FLAMING0/MDOP4</t>
  </si>
  <si>
    <t>TB.MITRA JAYA XVIII/YDB4849 - TK.METRO 16</t>
  </si>
  <si>
    <t>26.26/87.84</t>
  </si>
  <si>
    <t>3.0/4,8</t>
  </si>
  <si>
    <t>TB.CAHAYA SURYA 2/YDB4789 - TK.TERATAI MERAH 2</t>
  </si>
  <si>
    <t>24,69/74,61</t>
  </si>
  <si>
    <t>3,6/3,8</t>
  </si>
  <si>
    <t>TB.KEITRANS 32/</t>
  </si>
  <si>
    <t>MT.YANGON/3E4937</t>
  </si>
  <si>
    <t>MV.ILLOVO RIVER/VRQH4</t>
  </si>
  <si>
    <t>MT.SERUI/YBJR2</t>
  </si>
  <si>
    <t>MV.NORD SUNDA/9V6270</t>
  </si>
  <si>
    <t>MV.UNION GLORY/3E7516</t>
  </si>
  <si>
    <t>MV. BAHAGIA SEJAHTERA/JZ9R</t>
  </si>
  <si>
    <t>MT.DELONIX/5LLI6</t>
  </si>
  <si>
    <t>164.3</t>
  </si>
  <si>
    <t>MV.XING ZHONG HAI/3E6830</t>
  </si>
  <si>
    <t>MV.MSC CELINE/3FID6</t>
  </si>
  <si>
    <t>MV.GALAXY GLORY/3FLS9</t>
  </si>
  <si>
    <t>MV.GENCO MARY/V7A5119</t>
  </si>
  <si>
    <t>TB TERUS DAYA 95/YDD3013 - TK NAP 818</t>
  </si>
  <si>
    <t>28.01/87</t>
  </si>
  <si>
    <t>3.15/3.25</t>
  </si>
  <si>
    <t>TB.MBS 179/YDC6405 - TK. MBS 389</t>
  </si>
  <si>
    <t>TB.SINAR RIAU 02/YDC4734 - TK.SAMUDERA JAYA 3002</t>
  </si>
  <si>
    <t>28,5/91,4</t>
  </si>
  <si>
    <t>TB.TOL LANDAK III/YDC4018 - TK. LL CJ</t>
  </si>
  <si>
    <t>TB.SRIKANDI BARUNA 2003/YDD4017 - TK.BARUNA POWER 3007</t>
  </si>
  <si>
    <t>MV.GRAND TAJIMA ONE / 3EFH3</t>
  </si>
  <si>
    <t>MV.BAHTERA DAMAI/YDEY3</t>
  </si>
  <si>
    <t>TB.INDO POWER 17/YDC4612 - TK.INDOTRANS 3017</t>
  </si>
  <si>
    <t>26,94/91,4</t>
  </si>
  <si>
    <t>220/3099</t>
  </si>
  <si>
    <t>MT.HARSANADI/YDXD2</t>
  </si>
  <si>
    <t>MT.ALMA/V7XV8</t>
  </si>
  <si>
    <t>MV. DEWI SAMUDRA XIX/YDBV3</t>
  </si>
  <si>
    <t>MT.VINTARI/JVTL8</t>
  </si>
  <si>
    <t>MV.MEDI POSITANO/5LRD7</t>
  </si>
  <si>
    <t>TB MEGAH 1610/YDC3495 - TK MMSS 2710</t>
  </si>
  <si>
    <t>3.0/2.60</t>
  </si>
  <si>
    <t>MV. BUNGA TERATAI 168/YDWW2</t>
  </si>
  <si>
    <t>TB. NELLY 99/YDC4663 - TK.NELLY 62</t>
  </si>
  <si>
    <t>24,60/87,78</t>
  </si>
  <si>
    <t>179/3145</t>
  </si>
  <si>
    <t xml:space="preserve">TB.YANG VITI X/YD4661 -  TK. TOTO XXII </t>
  </si>
  <si>
    <t>21,12/96,5</t>
  </si>
  <si>
    <t>146/5136</t>
  </si>
  <si>
    <t xml:space="preserve">GSM </t>
  </si>
  <si>
    <t>MV.AS SICILIA/CQIY2</t>
  </si>
  <si>
    <t>MV.SAPHIRA/D5YT2</t>
  </si>
  <si>
    <t>TB KARYA TANGGUH 2201/YDB4793 - TK DAYA UTAMA 03</t>
  </si>
  <si>
    <t>22.5/67.30</t>
  </si>
  <si>
    <t>115/1563</t>
  </si>
  <si>
    <t>2.6/3.50</t>
  </si>
  <si>
    <t>MV.NAVIOUS GEMINI/3ENG2</t>
  </si>
  <si>
    <t>MV.APOLLO 18/3E7217</t>
  </si>
  <si>
    <t>MV.VIET THUAN 80-07/3E8998</t>
  </si>
  <si>
    <t>MT.ANARGYA 1/YDDR2</t>
  </si>
  <si>
    <t>TB.TADANSA /YDB4490 - BG 3 SAUDARA</t>
  </si>
  <si>
    <t>2,9/4,9</t>
  </si>
  <si>
    <t>MT.BLISS/9V7510</t>
  </si>
  <si>
    <t>SPOB CAVALO MARINHO 17/YDGT4</t>
  </si>
  <si>
    <t>MV.PAN QUANTUM/3LMV5</t>
  </si>
  <si>
    <t>MV ORIENTAL NEPTUNE/3E6687</t>
  </si>
  <si>
    <t>SPOB.BSP XX/YBBI2</t>
  </si>
  <si>
    <t>MV.MARS/3EID5</t>
  </si>
  <si>
    <t>MT.YC AZALEA/D7IQ</t>
  </si>
  <si>
    <t>TB.TT MARITIM SATU/YDB4013 - TK ANAK LAUT 289</t>
  </si>
  <si>
    <t>120/1046</t>
  </si>
  <si>
    <t>2,8/4</t>
  </si>
  <si>
    <t>MT.AGAPI 1/9HA6427</t>
  </si>
  <si>
    <t>MT M BRIGIT/9V3565</t>
  </si>
  <si>
    <t>TB.PANCARAN 9125/YDC6808 - TK. PMT 9125</t>
  </si>
  <si>
    <t>30/113</t>
  </si>
  <si>
    <t>267/5430</t>
  </si>
  <si>
    <t>3,20/1,2</t>
  </si>
  <si>
    <t>MV.LBN 9/YDHF4</t>
  </si>
  <si>
    <t xml:space="preserve">KMP MUTIARA BERKAH 2/YBWW2 </t>
  </si>
  <si>
    <t xml:space="preserve">TB.KARYA PASIFIK 2231/YDC3396 - TK KC 3656 </t>
  </si>
  <si>
    <t>MT SHENG HANG JUANG MING/BPOQ4</t>
  </si>
  <si>
    <t>MV.DA HUA /3FPC8</t>
  </si>
  <si>
    <t>MV.BW JAPAN/9V2027</t>
  </si>
  <si>
    <t>TB. SUMBER SARANA / YDB4113 - TK. SMB 1</t>
  </si>
  <si>
    <t>21/67,7</t>
  </si>
  <si>
    <t>94/1832</t>
  </si>
  <si>
    <t>MT ANIKA/HSB6277</t>
  </si>
  <si>
    <t>MV DENSA PUMA/9HA3145</t>
  </si>
  <si>
    <t>SPOB AGUNG BAHARI 8/YB4089</t>
  </si>
  <si>
    <t>MV.POWER/3E3887</t>
  </si>
  <si>
    <t>MT. PUSAKA PRIMA / 9MWYG</t>
  </si>
  <si>
    <t>MV.OCEAN ACE/9V2094</t>
  </si>
  <si>
    <t>MT. ANNA JAYA / YEQQ</t>
  </si>
  <si>
    <t>MV. POLYNESIA QUEEN / 9V9258</t>
  </si>
  <si>
    <t>207/3245</t>
  </si>
  <si>
    <t>TB.KARYA PACIFIC 2289/YDD3187 - TK.PACIFIC STAR 20</t>
  </si>
  <si>
    <t>MT PVT DAWN/3FF09</t>
  </si>
  <si>
    <t>MV.PAC SHAULA /9VPQ9</t>
  </si>
  <si>
    <t>TB.TKSI 1/YD3236 - TK.AME 2</t>
  </si>
  <si>
    <t>22,5/69</t>
  </si>
  <si>
    <t>80/1747</t>
  </si>
  <si>
    <t>2,6/1,4</t>
  </si>
  <si>
    <t>8.67</t>
  </si>
  <si>
    <t>MV. PARAS/V7A5620</t>
  </si>
  <si>
    <t>KM.SAM 1/YGNR</t>
  </si>
  <si>
    <t>MT.ELORA 1/3E8725</t>
  </si>
  <si>
    <t>SULIASYONO</t>
  </si>
  <si>
    <t>MV. RUBY STAR/5BPU6</t>
  </si>
  <si>
    <t>TB. PACIFIC ELEVEN/YDB3084 - TK.PACIFIC 3011</t>
  </si>
  <si>
    <t>258/3270</t>
  </si>
  <si>
    <t>MV. BLUE CECIL/V7A4708</t>
  </si>
  <si>
    <t>NIP. 19890807 201801 1 001</t>
  </si>
  <si>
    <t>MV.RHEA/5LYM6</t>
  </si>
  <si>
    <t>MV KARLA BULKER/9V9536</t>
  </si>
  <si>
    <t>TB MULIA GEMILANG 2/TDD4055 - TK GEMILANG BAYAH 2</t>
  </si>
  <si>
    <t>27/97</t>
  </si>
  <si>
    <t>262/4107</t>
  </si>
  <si>
    <t>MV.MSC MAKALU III/5LID5</t>
  </si>
  <si>
    <t>MV.XIN DA ZHONG/BOPM</t>
  </si>
  <si>
    <t>TB.PERSADA XVII/YDA3168 - TK PERSADA 2506</t>
  </si>
  <si>
    <t>24,3/76,20</t>
  </si>
  <si>
    <t>193/1295</t>
  </si>
  <si>
    <t>MT. KHARISMA SELATAN/PMAU</t>
  </si>
  <si>
    <t>TB.ALDRIN/YDB4133 - TK.AMANDA</t>
  </si>
  <si>
    <t>21/54,8</t>
  </si>
  <si>
    <t>112/1151</t>
  </si>
  <si>
    <t>KM. BAHARI 17/PVOB</t>
  </si>
  <si>
    <t>MV. XIN DA ZHONG/BOPM</t>
  </si>
  <si>
    <t>MV. WESTERN MAPLE/VRGU9</t>
  </si>
  <si>
    <t>MT.SAMUDRA SINDO 38/PNOX</t>
  </si>
  <si>
    <t>MT.GAS CATALINA/YDFO2</t>
  </si>
  <si>
    <t>MV.MSC CONAKRY IV/5LSM3</t>
  </si>
  <si>
    <t>MT.DING HENG 28/5LHB2</t>
  </si>
  <si>
    <t>TB.VICTORY 2017/YDD3077 - TK.PSB 3019</t>
  </si>
  <si>
    <t>227/3418</t>
  </si>
  <si>
    <t>MT. GAS ROYALE/YDRR2</t>
  </si>
  <si>
    <t>TB.TITAN 51/YDB4918 - BG. BAGAS NAUTICA 12</t>
  </si>
  <si>
    <t>28,18/87,78</t>
  </si>
  <si>
    <t>274/3025</t>
  </si>
  <si>
    <t>MV.APOLLO LEADER/3FEF6</t>
  </si>
  <si>
    <t>TB PBM 989 2019/CAKRAWALA VIII 2022</t>
  </si>
  <si>
    <t>MT.PACIFIC GEMINI/V7A3301</t>
  </si>
  <si>
    <t>MV.BUNSO/YBPD2</t>
  </si>
  <si>
    <t>TB.KAWANKITA III/YDB4710-TK.BINTANG PALMA</t>
  </si>
  <si>
    <t>22,10/67,3</t>
  </si>
  <si>
    <t>2,9/3,4</t>
  </si>
  <si>
    <t>108/1496</t>
  </si>
  <si>
    <t>MT.CHAMPION EBONY/LAQZ7</t>
  </si>
  <si>
    <t>MV.IBT TANGGUH/YDIK3</t>
  </si>
  <si>
    <t>MV.LANCAR BERKATPRIMA/YDEF4</t>
  </si>
  <si>
    <t>TB.SANLE 35/YDB4235-BG.TGH 2507</t>
  </si>
  <si>
    <t>27/78</t>
  </si>
  <si>
    <t>117/2212</t>
  </si>
  <si>
    <t>2,3/4,8</t>
  </si>
  <si>
    <t>TB.LM MERANTI/YDB3285 - TK.LM SULUNG</t>
  </si>
  <si>
    <t>26/82,5</t>
  </si>
  <si>
    <t>197/2750</t>
  </si>
  <si>
    <t>TB.PBM 98 2019/YDB6880-TK.HZM 2022</t>
  </si>
  <si>
    <t>23,9/82,29</t>
  </si>
  <si>
    <t>155/2909</t>
  </si>
  <si>
    <t>TB.KARYA TANGGUH 2311/YDD4103-TK.DAYA UTAMA II</t>
  </si>
  <si>
    <t>TB.ENTEBE STAR 78/YDA6687-TK.FINACIA91</t>
  </si>
  <si>
    <t>MV.YUN HAI 316/3E6747</t>
  </si>
  <si>
    <t>25/88</t>
  </si>
  <si>
    <t>180/3104</t>
  </si>
  <si>
    <t>2,6/4,6</t>
  </si>
  <si>
    <t>TB. MBP 1801 / YD8017 - TK. SUMBER JAYA 3018</t>
  </si>
  <si>
    <t>TB.TERUS DAYA 353/YDD3272/TK.SINAR LESTARI 332</t>
  </si>
  <si>
    <t>28/91.5</t>
  </si>
  <si>
    <t>241/3705</t>
  </si>
  <si>
    <t>3.8/5.6</t>
  </si>
  <si>
    <t>MT.YANG VITI X/YD4661</t>
  </si>
  <si>
    <t>TB MULTI 02/YDB3231 - TK MULTI 3003</t>
  </si>
  <si>
    <t>27/88,87</t>
  </si>
  <si>
    <t>MT.MALBEC HORIZON/V7B2722</t>
  </si>
  <si>
    <t>TB.PATRA 1501/YD2065-TK.PARTA 1801</t>
  </si>
  <si>
    <t>MV.CHANG HANG RUN HAI/BULL</t>
  </si>
  <si>
    <t>MV. YI PENG 3/BPME8</t>
  </si>
  <si>
    <t>26/57</t>
  </si>
  <si>
    <t>192/1112</t>
  </si>
  <si>
    <t>2,7/1,25</t>
  </si>
  <si>
    <t>TB.TRITON 01/YDC6428-TK.TRITON 8701</t>
  </si>
  <si>
    <t>TB.PRIMA  9/YDA4759-TK.MARITIM 9</t>
  </si>
  <si>
    <t>24,73/87,8</t>
  </si>
  <si>
    <t>3,4/5,4</t>
  </si>
  <si>
    <t>26,66/87,78</t>
  </si>
  <si>
    <t>266/3569</t>
  </si>
  <si>
    <t>RSNB</t>
  </si>
  <si>
    <t>SPOB LIMA 999 99/YBA6113</t>
  </si>
  <si>
    <t xml:space="preserve">MT. YUE DIAN 53/BPEW5 </t>
  </si>
  <si>
    <t>MV. GINGA GRUTTO/V7A5552</t>
  </si>
  <si>
    <t>MV.FUKU/YBEA2</t>
  </si>
  <si>
    <t>MV.OBI ISLAND/3E8492</t>
  </si>
  <si>
    <t>199.98</t>
  </si>
  <si>
    <t>MV. GOOD LUCK/A8294</t>
  </si>
  <si>
    <t>MV. ZALECHA BARUNA/YDVB3</t>
  </si>
  <si>
    <t>MV.MALTEZA/9HA5349</t>
  </si>
  <si>
    <t>MT.GOLDEN ORION/3FEW</t>
  </si>
  <si>
    <t>MV.EVER PROGRESS/VRKG8</t>
  </si>
  <si>
    <t>TB SAMUDRA TIRTA A /YDB4974 - TK SKM 42</t>
  </si>
  <si>
    <t xml:space="preserve">24/67 </t>
  </si>
  <si>
    <t>100/1757</t>
  </si>
  <si>
    <t>MT ROMEO P/YDJE4</t>
  </si>
  <si>
    <t>MV BUSAN STAR/3EYF2</t>
  </si>
  <si>
    <t>166/2146</t>
  </si>
  <si>
    <t>3,2/3,3</t>
  </si>
  <si>
    <t>TB.BRAWIDJAYA 1/YDA6905 - TK TUNGGA DEWI 1</t>
  </si>
  <si>
    <t>MT HAFNIA VALENTINO/9V9291</t>
  </si>
  <si>
    <t>MV FUKUHO/PO65</t>
  </si>
  <si>
    <t>74.45</t>
  </si>
  <si>
    <t>TB TERUS DAYA 377/TK MARCOPOLO 828</t>
  </si>
  <si>
    <t>276/3708</t>
  </si>
  <si>
    <t>3/4,9</t>
  </si>
  <si>
    <t>TB.KASUGA MAJU/YD3157-TK.SM UNIVERSE 118</t>
  </si>
  <si>
    <t>MV.TIAN LI/H3TK</t>
  </si>
  <si>
    <t>TB.WILLIAM 8/YDC6425-BG.MARINA BAY 125</t>
  </si>
  <si>
    <t>3/91,5</t>
  </si>
  <si>
    <t>181/3197</t>
  </si>
  <si>
    <t>MT.ROAMA/3E9072</t>
  </si>
  <si>
    <t>MV.LURSEN/T7DU3</t>
  </si>
  <si>
    <t>TB. MARINA MERCURY 2/YDA4748-BG.DANA BAHARI 1</t>
  </si>
  <si>
    <t>TB.NUSA XXI2023/YDC6391-BG.ASR</t>
  </si>
  <si>
    <t>LPG. GAS FREESIA/YDVX2</t>
  </si>
  <si>
    <t>193/3106</t>
  </si>
  <si>
    <t>3,5/3,5</t>
  </si>
  <si>
    <t>MV.MSC ZLATA R/D5GE5</t>
  </si>
  <si>
    <t>TB.KSD17-BG.KSD 38</t>
  </si>
  <si>
    <t>MV.TAI KUDOS/3FYH9</t>
  </si>
  <si>
    <t>TB.LL ELISTINA/YDC4270-BG.LL 2712</t>
  </si>
  <si>
    <t>23,20/79,1</t>
  </si>
  <si>
    <t>121/2184</t>
  </si>
  <si>
    <t>MT.STI DUCHESSA/V7CA3</t>
  </si>
  <si>
    <t>MV.YI PENG/BPBD2</t>
  </si>
  <si>
    <t>MV.DAIWAN ELEGANCE/HOVX</t>
  </si>
  <si>
    <t>MV.HUA YANG MEI GUI/BOUN4</t>
  </si>
  <si>
    <t>MV.VELOCE/5LBZ2</t>
  </si>
  <si>
    <t>TB.YANG VITI XVI/YDC4705-BG.TOTO I</t>
  </si>
  <si>
    <t>TB.GEMA202/YDD3470-BG.GEMA 302</t>
  </si>
  <si>
    <t>2207/3009</t>
  </si>
  <si>
    <t>TB.HUA NAVIGATOR I/YDD3234-BG.PALEM HERO 2401</t>
  </si>
  <si>
    <t>196/2294</t>
  </si>
  <si>
    <t>3,65/3,8</t>
  </si>
  <si>
    <t>29,75/76,2</t>
  </si>
  <si>
    <t>234/1870</t>
  </si>
  <si>
    <t>42/4</t>
  </si>
  <si>
    <t>MT.BS THANYA/HSB5257</t>
  </si>
  <si>
    <t>MV.PAC CAPELLA/9V9785</t>
  </si>
  <si>
    <t>TB.JFF2/YD5377-BG.SUKAWATI 2717</t>
  </si>
  <si>
    <t>MV.TAI HARMONY/VRTZ2</t>
  </si>
  <si>
    <t>TB.JOHAN JAYA 151/YDA3566-BG.KAPUAS JAYA 336</t>
  </si>
  <si>
    <t>27,84/96,69</t>
  </si>
  <si>
    <t>219/4564</t>
  </si>
  <si>
    <t>24,25/91,5</t>
  </si>
  <si>
    <t>112/2136</t>
  </si>
  <si>
    <t>MV.VIET THUAN 56-06/3E8373</t>
  </si>
  <si>
    <t>MV.YANGZE 902/D5BF6</t>
  </si>
  <si>
    <t>MV.ERICA 10/YCHV</t>
  </si>
  <si>
    <t>SPOB GAHARU OLEUM 18/PLIF</t>
  </si>
  <si>
    <t>TB.SAMUDRA   TIRTA 1/YD3988 - TK. LAUTAN 2502</t>
  </si>
  <si>
    <t>TB.SRIKANDI BARUNA 2003/YDD4017-TK.BARUNA POWER 3007</t>
  </si>
  <si>
    <t>3.4/3.3</t>
  </si>
  <si>
    <t>20.8/67.3</t>
  </si>
  <si>
    <t>3/4.3</t>
  </si>
  <si>
    <t>21/83.3</t>
  </si>
  <si>
    <t>TB. BIWIN 10/YDA6317-BG.BIL 5</t>
  </si>
  <si>
    <t>21.7/70.22</t>
  </si>
  <si>
    <t>149/1627</t>
  </si>
  <si>
    <t>3/0.8</t>
  </si>
  <si>
    <t>TB.SATRIA WIJAYA/YDB4161-BG.CITRA MANDIRI 2012</t>
  </si>
  <si>
    <t>20.94/52.62</t>
  </si>
  <si>
    <t>2.8/3.10</t>
  </si>
  <si>
    <t>TB.SUKSES BERSAMA 1/YDA3542 - TK.SUKSES BERSAMA II</t>
  </si>
  <si>
    <t>20/78</t>
  </si>
  <si>
    <t>199/2554</t>
  </si>
  <si>
    <t>2,5/1</t>
  </si>
  <si>
    <t>TB.SINAR MARINE 509/YDD4010-BG.ARMADA KAPUAS 15</t>
  </si>
  <si>
    <t>24.33/84.12</t>
  </si>
  <si>
    <t>158/2964</t>
  </si>
  <si>
    <t>2.8/1.2</t>
  </si>
  <si>
    <t>MT.BUMI INDONESIA/PNHC</t>
  </si>
  <si>
    <t>IN/ABK 10</t>
  </si>
  <si>
    <t>TB.MITRA KENCANA XIV/YDA3135 - TK.SUMBER KENCANA XII</t>
  </si>
  <si>
    <t>188/2576</t>
  </si>
  <si>
    <t>TB IVY/YDB4897 - TK GURITA 3012</t>
  </si>
  <si>
    <t>261/3145</t>
  </si>
  <si>
    <t>2,7/3,0</t>
  </si>
  <si>
    <t>MV.ASTORIA/D5CD7</t>
  </si>
  <si>
    <t>MT.KSU 02/YDUX3</t>
  </si>
  <si>
    <t>TB.SABANG 29/YD4543 - TK.SUMBER JAYA 2752</t>
  </si>
  <si>
    <t>24,5/79,01</t>
  </si>
  <si>
    <t>149/2483</t>
  </si>
  <si>
    <t>2,8/3,9</t>
  </si>
  <si>
    <t>MV.BAIK/YCGY2</t>
  </si>
  <si>
    <t>TB KARYA PACIFIC 2222/YDB3282 - TK PACIFIC STAR 8608</t>
  </si>
  <si>
    <t>4,0/0,7</t>
  </si>
  <si>
    <t>TB.NUSA 8 - 2022/YDC6295 - TK.EFE 888-2019</t>
  </si>
  <si>
    <t>26/87,74</t>
  </si>
  <si>
    <t>MT MAC SINGAPORE/YDKX3</t>
  </si>
  <si>
    <t>TARAHAN</t>
  </si>
  <si>
    <t>TB SURYA PERKASA 205/YDB4598 -TK KAHURIPAN 302</t>
  </si>
  <si>
    <t>26.7/69.7</t>
  </si>
  <si>
    <t>122/1942</t>
  </si>
  <si>
    <t>MV.CSK UNITY/9V3127</t>
  </si>
  <si>
    <t>MT.ARSY 01/YDBO3</t>
  </si>
  <si>
    <t>MV.KAIROS JAYA 8/YDQM3</t>
  </si>
  <si>
    <t>TB.TKSI II/YD3253-BG.AME III</t>
  </si>
  <si>
    <t>MV.LUZON STRAIT/YDBZ4</t>
  </si>
  <si>
    <t>TB.YANG VITI XI/YD6598-BG.TOTO IX</t>
  </si>
  <si>
    <t>28.5/70.10</t>
  </si>
  <si>
    <t>227/1662</t>
  </si>
  <si>
    <t>2.4/3.9</t>
  </si>
  <si>
    <t>90.8</t>
  </si>
  <si>
    <t>26.7/65</t>
  </si>
  <si>
    <t>132/1324</t>
  </si>
  <si>
    <t>3..0/3.0</t>
  </si>
  <si>
    <t>TB KARYA PACIFIC 2207/YDC4095 - PACIFIC STAR 7807</t>
  </si>
  <si>
    <t>4.0/5.5</t>
  </si>
  <si>
    <t>TB.SAHABAT KALIMANTAN 2/YDC4757 - TK.ROYAL 3</t>
  </si>
  <si>
    <t>129/1567</t>
  </si>
  <si>
    <t>3/3.7</t>
  </si>
  <si>
    <t>TB.DUTA KAPUSA 06/YD6537-BG.KAPUAS 168</t>
  </si>
  <si>
    <t>21.98/6145</t>
  </si>
  <si>
    <t>134/1085</t>
  </si>
  <si>
    <t>2.4/2.6</t>
  </si>
  <si>
    <t>MT.GLOBAL VENUS/3EWP7</t>
  </si>
  <si>
    <t>TB.SLM HELIOS 1/YDC4736-BG,SLM SELENE 1</t>
  </si>
  <si>
    <t>295/2115</t>
  </si>
  <si>
    <t>1.4/2.8</t>
  </si>
  <si>
    <t>MT.SUNRISE WARRIOR/YCXD2</t>
  </si>
  <si>
    <t>KM ALPHA 06/PKIG</t>
  </si>
  <si>
    <t>TB.SM XXI/YDA3627-BG.MELINIUM STAR</t>
  </si>
  <si>
    <t>26/96.25</t>
  </si>
  <si>
    <t>154/2667</t>
  </si>
  <si>
    <t>2.5/6</t>
  </si>
  <si>
    <t>MV.UNITY HARMONY/5LYV6</t>
  </si>
  <si>
    <t>MT.ASIRI LINY/YDWF3</t>
  </si>
  <si>
    <t>MT.DATO SIRI LOE/YDDG4</t>
  </si>
  <si>
    <t>SPOB.SAMARA/PKSD</t>
  </si>
  <si>
    <t>76.68</t>
  </si>
  <si>
    <t>ARGANIAGA</t>
  </si>
  <si>
    <t>27.15/87.79</t>
  </si>
  <si>
    <t>263/3796</t>
  </si>
  <si>
    <t>3.3/0.68</t>
  </si>
  <si>
    <t>MV.HONG BANG/3E7532</t>
  </si>
  <si>
    <t>MV.ONE BRIGHT/H3TJ</t>
  </si>
  <si>
    <t>MV.GALATEIA/5LRP4</t>
  </si>
  <si>
    <t>MV.DONG FANG WEI YE/BOFH2</t>
  </si>
  <si>
    <t>MV.KASPAR OLDENDORFF/CQAU7</t>
  </si>
  <si>
    <t>14.2</t>
  </si>
  <si>
    <t>TB. KANCIL MAS SATU / YDA4803 - TK. BUMI SAWIT SATU</t>
  </si>
  <si>
    <t>TB.DESTA 1/YD6913-BG.KSB 2</t>
  </si>
  <si>
    <t>19/54.86</t>
  </si>
  <si>
    <t>77/890</t>
  </si>
  <si>
    <t>MV.ISA CLARITY/PKSF</t>
  </si>
  <si>
    <t>TB.GLOBAL PASIFIC 05/YDC3727-BG.GSM 3302</t>
  </si>
  <si>
    <t>27/400.58</t>
  </si>
  <si>
    <t>223/4338</t>
  </si>
  <si>
    <t>2.6/1.0</t>
  </si>
  <si>
    <t>MV.GOLD ETERNITY/5LQV7</t>
  </si>
  <si>
    <t>96.78</t>
  </si>
  <si>
    <t>TB.ARIA CITRA VII/YD4595</t>
  </si>
  <si>
    <t>36.2</t>
  </si>
  <si>
    <t>SPOB.JUNEMARU 1/POUC</t>
  </si>
  <si>
    <t>88.5</t>
  </si>
  <si>
    <t>FV.RODA TERANG 01/-</t>
  </si>
  <si>
    <t>TB.BUANA 1302/YDA3223 - TK.SINDO GARUDA KENCANA</t>
  </si>
  <si>
    <t>142/2029</t>
  </si>
  <si>
    <t>MV.HIROMOTO/3E6706</t>
  </si>
  <si>
    <t>127.6</t>
  </si>
  <si>
    <t>MT.PETRO OCEAN XVI/YBCZ2</t>
  </si>
  <si>
    <t>TB.WIJAYA TRANS 37/YDC4994-BG.WIJAYA TRANS 237</t>
  </si>
  <si>
    <t>MT.PIS PAPUA/3E8030</t>
  </si>
  <si>
    <t>MT.PETRO OCEAN II/YHMG</t>
  </si>
  <si>
    <t>TB.YANG VITI VI/YDA4815 - TK.TOTO XII</t>
  </si>
  <si>
    <t>SPOB.CAHAYA KAPUAS 2A/YBA4104</t>
  </si>
  <si>
    <t>34.50</t>
  </si>
  <si>
    <t>TB.SYMPHONY/YED4076-BG.CAKWARALA 3010</t>
  </si>
  <si>
    <t>209/3123</t>
  </si>
  <si>
    <t>4/5.5</t>
  </si>
  <si>
    <t>CIGADING</t>
  </si>
  <si>
    <t>PENUMPANG</t>
  </si>
  <si>
    <t>TB.MAJUDAYA 113/-TB NAP 04</t>
  </si>
  <si>
    <t>268/3000</t>
  </si>
  <si>
    <t>3.3/5</t>
  </si>
  <si>
    <t>TB.NUSA XXII-2023/YDC6377-BG.MKR</t>
  </si>
  <si>
    <t>26/91.40</t>
  </si>
  <si>
    <t>3.6/5.4</t>
  </si>
  <si>
    <t>KM.SARANA SUKSES/PMKQ</t>
  </si>
  <si>
    <t>TB.TOLI HURRICANE/YDA4388-BG.ELANG JAWA 2</t>
  </si>
  <si>
    <t>29/76.20</t>
  </si>
  <si>
    <t>268/2277</t>
  </si>
  <si>
    <t>TB.PANCARAN 513/YDA3664-BG.PST 513</t>
  </si>
  <si>
    <t>195/3036</t>
  </si>
  <si>
    <t>4.6/5.4</t>
  </si>
  <si>
    <t>MARUNDA</t>
  </si>
  <si>
    <t>OUT/ABK 37</t>
  </si>
  <si>
    <t>MV.TRUONG MINH DRAGON/3WOB9</t>
  </si>
  <si>
    <t>MT.SKAI/V7SM6</t>
  </si>
  <si>
    <t>147.83</t>
  </si>
  <si>
    <t>MERAK</t>
  </si>
  <si>
    <t>ANCHORE : -</t>
  </si>
  <si>
    <t>IN/ABK 11</t>
  </si>
  <si>
    <t>KM BUNGA TERATAI 168/YDWW2</t>
  </si>
  <si>
    <t>TB.TRANS POWER 212/YDA4988-BG.GOLD TRANS 3015</t>
  </si>
  <si>
    <t>ANCHORE : 0030LT</t>
  </si>
  <si>
    <t>TB.LL MASERAT II/YDB4206-TK.LL MASIE</t>
  </si>
  <si>
    <t>132/1895</t>
  </si>
  <si>
    <t>2149LT</t>
  </si>
  <si>
    <t>TB.KARYA JAYA RAYA 2/YDB4869-TK.SKM 25</t>
  </si>
  <si>
    <t>TB.MEGA POWER 25/YDB6070-TK.FINACIA 106</t>
  </si>
  <si>
    <t>28/111</t>
  </si>
  <si>
    <t>248/5248</t>
  </si>
  <si>
    <t>TB.DUTA KAPUAS 25/YDB3200-TK.KAPUAS 266</t>
  </si>
  <si>
    <t>24.3/77.59</t>
  </si>
  <si>
    <t>190/2635</t>
  </si>
  <si>
    <t>2.8/4.40</t>
  </si>
  <si>
    <t>TB.KALI VII/YDA3210-TK.MOANA VII</t>
  </si>
  <si>
    <t>5.0/3.0</t>
  </si>
  <si>
    <t>TB.TERUS DAYA 95-TK.NAP 818</t>
  </si>
  <si>
    <t>TB.KJ MARINE 101-TK KJ MARINE 241</t>
  </si>
  <si>
    <t>27/76</t>
  </si>
  <si>
    <t>LONTAR</t>
  </si>
  <si>
    <t>IN/ABK 17</t>
  </si>
  <si>
    <t>0614LT</t>
  </si>
  <si>
    <t>ANCHORE : 0630LT</t>
  </si>
  <si>
    <t>17.15/-</t>
  </si>
  <si>
    <t>45/-</t>
  </si>
  <si>
    <t>2.4/-</t>
  </si>
  <si>
    <t>11/81.0</t>
  </si>
  <si>
    <t>TB.AQUARIUS 1609/YDB3321-TKPSB 2510</t>
  </si>
  <si>
    <t>27.23/76.25</t>
  </si>
  <si>
    <t>151/2316</t>
  </si>
  <si>
    <t>MV.QUEEN SARAH/5LLM3</t>
  </si>
  <si>
    <t>MT.HAFNIA TOURMALINE/V7RA3</t>
  </si>
  <si>
    <t>0742LT</t>
  </si>
  <si>
    <t>IN/ABK 21</t>
  </si>
  <si>
    <t>IN/ABK 23</t>
  </si>
  <si>
    <t>16-17 JUNI</t>
  </si>
  <si>
    <t xml:space="preserve">      Panjang, 17 Juni 2026</t>
  </si>
  <si>
    <t>1730LT</t>
  </si>
  <si>
    <t>1752LT</t>
  </si>
  <si>
    <t>1757LT</t>
  </si>
  <si>
    <t>1801LT</t>
  </si>
  <si>
    <t>1904LT</t>
  </si>
  <si>
    <t>2006LT</t>
  </si>
  <si>
    <t>2125LT</t>
  </si>
  <si>
    <t>2220LT</t>
  </si>
  <si>
    <t>0049LT</t>
  </si>
  <si>
    <t>TB.SPGM 1307/YDA4312-TK.MMSS2507</t>
  </si>
  <si>
    <t>21.9/73.15</t>
  </si>
  <si>
    <t>134/2200</t>
  </si>
  <si>
    <t>2.4/1.3</t>
  </si>
  <si>
    <t>MT.HUANG SHAN 16/BPCH4</t>
  </si>
  <si>
    <t>152.7</t>
  </si>
  <si>
    <t>BOJONEGARA</t>
  </si>
  <si>
    <t>SURALAYA</t>
  </si>
  <si>
    <t>BALONGAN</t>
  </si>
  <si>
    <t>CILACAP</t>
  </si>
  <si>
    <t>1906/0500LT</t>
  </si>
  <si>
    <t>1706/0900LT</t>
  </si>
  <si>
    <t>1606/2000LT</t>
  </si>
  <si>
    <t>1606/1930LT</t>
  </si>
  <si>
    <t>1706/0630LT</t>
  </si>
  <si>
    <t>1806/0300LT</t>
  </si>
  <si>
    <t>1606/2330LT</t>
  </si>
  <si>
    <t>1706/0100LT</t>
  </si>
  <si>
    <t>1706/0200LT</t>
  </si>
  <si>
    <t>TD : 1700LT</t>
  </si>
  <si>
    <t>TD : 1748LT</t>
  </si>
  <si>
    <t>ANCHORE : 2018LT</t>
  </si>
  <si>
    <t>05'30,400S/105'18,727E</t>
  </si>
  <si>
    <t>ANCHORE : 1945LT</t>
  </si>
  <si>
    <t>05'31,980S/105'19,556E</t>
  </si>
  <si>
    <t>TD : 1834LT</t>
  </si>
  <si>
    <t>TD : 2000LT</t>
  </si>
  <si>
    <t>SANDAR</t>
  </si>
  <si>
    <t>LANGSUNG SANDAR</t>
  </si>
  <si>
    <t>05'28,278S/105'18,158E</t>
  </si>
  <si>
    <t>PERTALITE</t>
  </si>
  <si>
    <t>OUT/ABK 19</t>
  </si>
  <si>
    <t>OUT/ABK 22</t>
  </si>
  <si>
    <t>OUT/ABK 16</t>
  </si>
  <si>
    <t>OUT/ABK 10</t>
  </si>
  <si>
    <t>0200LT</t>
  </si>
  <si>
    <t>0230LT</t>
  </si>
  <si>
    <t>0516LT</t>
  </si>
  <si>
    <t>TB.JANE 221/YD5373-TK.VANIA 311</t>
  </si>
  <si>
    <t>28.35/94.5</t>
  </si>
  <si>
    <t>254/4131</t>
  </si>
  <si>
    <t>INDRAMAYU</t>
  </si>
  <si>
    <t>1706/0730LT</t>
  </si>
  <si>
    <t>1706/0400LT</t>
  </si>
  <si>
    <t>1706/0530LT</t>
  </si>
  <si>
    <t>TD : 0136LT</t>
  </si>
  <si>
    <t>0617LT</t>
  </si>
  <si>
    <t>0620LT</t>
  </si>
  <si>
    <t>PULAU KALI</t>
  </si>
  <si>
    <t>1706/0700LT</t>
  </si>
  <si>
    <t>1706/0800LT</t>
  </si>
  <si>
    <t>05'22,210S/105'20,0008E</t>
  </si>
  <si>
    <t>0714LT</t>
  </si>
  <si>
    <t>PLAJU</t>
  </si>
  <si>
    <t>1806/2212LT</t>
  </si>
  <si>
    <t>TD : 0642LT</t>
  </si>
  <si>
    <t>OUT/ABK 28</t>
  </si>
  <si>
    <t>,</t>
  </si>
  <si>
    <t>TG SEKONG</t>
  </si>
  <si>
    <t>1706/1400LT</t>
  </si>
  <si>
    <t>TD : 0712LT</t>
  </si>
  <si>
    <t>OUT/ABK 21</t>
  </si>
  <si>
    <t>0751LT</t>
  </si>
  <si>
    <t>2006/1200LT</t>
  </si>
  <si>
    <t>TD : -</t>
  </si>
  <si>
    <t>OUT/ABK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</si>
</sst>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_);_(* \(#,##0\);_(* &quot;-&quot;_);_(@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8999908444471571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C2337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i/>
      <sz val="12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sz val="12"/>
      <name val="Calibri"/>
      <family val="2"/>
      <scheme val="minor"/>
    </font>
    <font>
      <i/>
      <sz val="12"/>
      <color theme="1"/>
      <name val="Arial"/>
      <family val="2"/>
    </font>
    <font>
      <sz val="12"/>
      <color theme="2" tint="-0.89999084444715716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Times New Roman"/>
      <family val="1"/>
    </font>
    <font>
      <b/>
      <sz val="12"/>
      <color theme="2" tint="-0.89999084444715716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3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3" xfId="3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quotePrefix="1" applyFont="1" applyBorder="1" applyAlignment="1">
      <alignment horizontal="center" vertical="center"/>
    </xf>
    <xf numFmtId="16" fontId="2" fillId="0" borderId="3" xfId="0" quotePrefix="1" applyNumberFormat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2" fillId="0" borderId="3" xfId="3" applyNumberFormat="1" applyFont="1" applyFill="1" applyBorder="1" applyAlignment="1">
      <alignment horizontal="center" vertical="center"/>
    </xf>
    <xf numFmtId="0" fontId="2" fillId="0" borderId="3" xfId="0" quotePrefix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0" fillId="0" borderId="7" xfId="0" quotePrefix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6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8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/>
    <xf numFmtId="0" fontId="11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8" fillId="0" borderId="9" xfId="0" quotePrefix="1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2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7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2" fillId="0" borderId="9" xfId="3" quotePrefix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11" fillId="0" borderId="9" xfId="0" applyFont="1" applyBorder="1"/>
    <xf numFmtId="0" fontId="11" fillId="0" borderId="0" xfId="0" applyFont="1"/>
    <xf numFmtId="0" fontId="2" fillId="0" borderId="9" xfId="0" quotePrefix="1" applyFont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  <xf numFmtId="1" fontId="2" fillId="0" borderId="11" xfId="0" quotePrefix="1" applyNumberFormat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3" fontId="2" fillId="0" borderId="9" xfId="0" quotePrefix="1" applyNumberFormat="1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3" fontId="2" fillId="0" borderId="3" xfId="0" quotePrefix="1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" fontId="2" fillId="0" borderId="9" xfId="0" quotePrefix="1" applyNumberFormat="1" applyFont="1" applyBorder="1" applyAlignment="1">
      <alignment horizontal="center" vertical="center"/>
    </xf>
    <xf numFmtId="1" fontId="2" fillId="0" borderId="9" xfId="0" quotePrefix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1" fontId="2" fillId="0" borderId="17" xfId="0" quotePrefix="1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16" fontId="2" fillId="0" borderId="9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3" xfId="0" quotePrefix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7" fillId="0" borderId="1" xfId="3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164" fontId="7" fillId="0" borderId="0" xfId="3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164" fontId="27" fillId="0" borderId="0" xfId="3" applyFont="1" applyAlignment="1">
      <alignment horizontal="center"/>
    </xf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49" fontId="32" fillId="0" borderId="0" xfId="0" applyNumberFormat="1" applyFont="1" applyAlignment="1">
      <alignment horizontal="left"/>
    </xf>
    <xf numFmtId="49" fontId="32" fillId="0" borderId="0" xfId="0" applyNumberFormat="1" applyFont="1" applyAlignment="1">
      <alignment horizontal="center" vertical="center"/>
    </xf>
    <xf numFmtId="16" fontId="32" fillId="0" borderId="0" xfId="0" quotePrefix="1" applyNumberFormat="1" applyFont="1" applyAlignment="1">
      <alignment horizontal="center"/>
    </xf>
    <xf numFmtId="0" fontId="27" fillId="0" borderId="1" xfId="0" applyFont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0" fontId="7" fillId="3" borderId="5" xfId="0" applyFont="1" applyFill="1" applyBorder="1"/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25" fillId="3" borderId="10" xfId="0" applyFont="1" applyFill="1" applyBorder="1" applyAlignment="1">
      <alignment horizontal="center" vertical="top"/>
    </xf>
    <xf numFmtId="0" fontId="25" fillId="3" borderId="0" xfId="0" applyFont="1" applyFill="1" applyAlignment="1">
      <alignment horizontal="center" vertical="top"/>
    </xf>
    <xf numFmtId="0" fontId="35" fillId="3" borderId="0" xfId="0" applyFont="1" applyFill="1" applyAlignment="1">
      <alignment horizontal="center" vertical="top"/>
    </xf>
    <xf numFmtId="164" fontId="25" fillId="3" borderId="0" xfId="3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2" borderId="0" xfId="0" quotePrefix="1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164" fontId="37" fillId="0" borderId="0" xfId="3" applyFont="1" applyBorder="1" applyAlignment="1"/>
    <xf numFmtId="164" fontId="7" fillId="0" borderId="0" xfId="3" applyFont="1" applyAlignment="1">
      <alignment horizontal="center"/>
    </xf>
    <xf numFmtId="0" fontId="40" fillId="0" borderId="0" xfId="0" applyFont="1" applyAlignment="1">
      <alignment horizontal="center" vertical="center"/>
    </xf>
    <xf numFmtId="164" fontId="7" fillId="0" borderId="0" xfId="3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22" fillId="0" borderId="9" xfId="0" applyFont="1" applyBorder="1" applyAlignment="1">
      <alignment horizontal="center" vertical="center"/>
    </xf>
    <xf numFmtId="0" fontId="41" fillId="0" borderId="10" xfId="0" applyFont="1" applyBorder="1" applyAlignment="1">
      <alignment horizontal="left" vertical="center"/>
    </xf>
    <xf numFmtId="0" fontId="2" fillId="4" borderId="2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center" vertical="center"/>
    </xf>
    <xf numFmtId="0" fontId="2" fillId="6" borderId="21" xfId="0" quotePrefix="1" applyFont="1" applyFill="1" applyBorder="1" applyAlignment="1">
      <alignment horizontal="center" vertical="center"/>
    </xf>
    <xf numFmtId="0" fontId="2" fillId="7" borderId="21" xfId="0" quotePrefix="1" applyFont="1" applyFill="1" applyBorder="1" applyAlignment="1">
      <alignment horizontal="center" vertical="center"/>
    </xf>
    <xf numFmtId="16" fontId="22" fillId="0" borderId="3" xfId="0" quotePrefix="1" applyNumberFormat="1" applyFont="1" applyBorder="1" applyAlignment="1">
      <alignment horizontal="center" vertical="center"/>
    </xf>
    <xf numFmtId="16" fontId="22" fillId="0" borderId="3" xfId="0" applyNumberFormat="1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/>
    </xf>
    <xf numFmtId="0" fontId="42" fillId="0" borderId="3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5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4" fillId="0" borderId="9" xfId="0" applyFont="1" applyBorder="1" applyAlignment="1">
      <alignment horizontal="left" vertical="center"/>
    </xf>
    <xf numFmtId="0" fontId="0" fillId="0" borderId="9" xfId="0" applyBorder="1"/>
    <xf numFmtId="0" fontId="44" fillId="0" borderId="6" xfId="0" applyFont="1" applyBorder="1" applyAlignment="1">
      <alignment horizontal="center" vertical="center"/>
    </xf>
    <xf numFmtId="0" fontId="44" fillId="0" borderId="3" xfId="0" applyFont="1" applyBorder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6" fillId="0" borderId="3" xfId="0" applyFont="1" applyBorder="1" applyAlignment="1">
      <alignment horizontal="left" vertical="center"/>
    </xf>
    <xf numFmtId="0" fontId="46" fillId="0" borderId="3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3" xfId="0" applyFont="1" applyBorder="1" applyAlignment="1">
      <alignment horizontal="left" vertical="center"/>
    </xf>
    <xf numFmtId="0" fontId="47" fillId="0" borderId="3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47" fillId="0" borderId="6" xfId="0" quotePrefix="1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0" fontId="48" fillId="0" borderId="3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50" fillId="0" borderId="3" xfId="0" applyFont="1" applyBorder="1" applyAlignment="1">
      <alignment horizontal="left" vertical="center"/>
    </xf>
    <xf numFmtId="0" fontId="50" fillId="0" borderId="3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34" fillId="3" borderId="19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4" fontId="7" fillId="3" borderId="5" xfId="3" applyFont="1" applyFill="1" applyBorder="1" applyAlignment="1">
      <alignment horizontal="center" vertical="center"/>
    </xf>
    <xf numFmtId="164" fontId="7" fillId="3" borderId="0" xfId="3" applyFont="1" applyFill="1" applyBorder="1" applyAlignment="1">
      <alignment horizontal="center" vertical="center"/>
    </xf>
    <xf numFmtId="164" fontId="7" fillId="3" borderId="20" xfId="3" applyFont="1" applyFill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25" fillId="0" borderId="1" xfId="0" applyFont="1" applyBorder="1" applyAlignment="1">
      <alignment horizontal="righ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5">
    <cellStyle name="Comma [0]" xfId="3" builtinId="6"/>
    <cellStyle name="Comma [0] 2" xfId="4" xr:uid="{6E948A60-CD65-42A7-818F-CC13ABB6E3EE}"/>
    <cellStyle name="Normal" xfId="0" builtinId="0"/>
    <cellStyle name="Normal 4" xfId="1" xr:uid="{00000000-0005-0000-0000-000002000000}"/>
    <cellStyle name="Normal 5" xfId="2" xr:uid="{00000000-0005-0000-0000-000003000000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84666</xdr:colOff>
      <xdr:row>37</xdr:row>
      <xdr:rowOff>39663</xdr:rowOff>
    </xdr:from>
    <xdr:to>
      <xdr:col>11</xdr:col>
      <xdr:colOff>899583</xdr:colOff>
      <xdr:row>40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3D81F7-FE7C-B092-79F8-F86847B19C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brightnessContrast bright="37000"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745"/>
        <a:stretch>
          <a:fillRect/>
        </a:stretch>
      </xdr:blipFill>
      <xdr:spPr bwMode="auto">
        <a:xfrm>
          <a:off x="13832416" y="6738913"/>
          <a:ext cx="814917" cy="62708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4:J2769" insertRowShift="1" totalsRowCount="1" headerRowDxfId="24" dataDxfId="22" headerRowBorderDxfId="23" tableBorderDxfId="21" totalsRowBorderDxfId="20">
  <autoFilter ref="A4:J2768" xr:uid="{00000000-0009-0000-0100-000001000000}"/>
  <sortState xmlns:xlrd2="http://schemas.microsoft.com/office/spreadsheetml/2017/richdata2" ref="A5:I678">
    <sortCondition ref="A4:A678"/>
  </sortState>
  <tableColumns count="10">
    <tableColumn id="1" xr3:uid="{00000000-0010-0000-0000-000001000000}" name="MMSI" totalsRowLabel="Total" dataDxfId="19" totalsRowDxfId="18"/>
    <tableColumn id="2" xr3:uid="{00000000-0010-0000-0000-000002000000}" name="NAMA VESSEL / CAL SIGN" dataDxfId="17" totalsRowDxfId="16"/>
    <tableColumn id="3" xr3:uid="{00000000-0010-0000-0000-000003000000}" name="LOA" dataDxfId="15" totalsRowDxfId="14"/>
    <tableColumn id="4" xr3:uid="{00000000-0010-0000-0000-000004000000}" name="GT" dataDxfId="13" totalsRowDxfId="12"/>
    <tableColumn id="5" xr3:uid="{00000000-0010-0000-0000-000005000000}" name="DRAFT" dataDxfId="11" totalsRowDxfId="10"/>
    <tableColumn id="6" xr3:uid="{00000000-0010-0000-0000-000006000000}" name="BENDERA" dataDxfId="9" totalsRowDxfId="8"/>
    <tableColumn id="9" xr3:uid="{00000000-0010-0000-0000-000009000000}" name="CARGO" dataDxfId="7" totalsRowDxfId="6"/>
    <tableColumn id="7" xr3:uid="{00000000-0010-0000-0000-000007000000}" name="AGEN" dataDxfId="5" totalsRowDxfId="4"/>
    <tableColumn id="8" xr3:uid="{00000000-0010-0000-0000-000008000000}" name="AGEN ( SINGKATAN )" totalsRowFunction="count" dataDxfId="3" totalsRowDxfId="2"/>
    <tableColumn id="10" xr3:uid="{87DE08C7-E68F-4853-8BA6-8A27DBEE0D96}" name="Column1" dataDxfId="1" totalsRow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showWhiteSpace="0" topLeftCell="A7" zoomScale="90" zoomScaleNormal="90" zoomScaleSheetLayoutView="70" zoomScalePageLayoutView="70" workbookViewId="0">
      <selection activeCell="P34" sqref="P34"/>
    </sheetView>
  </sheetViews>
  <sheetFormatPr defaultRowHeight="15" x14ac:dyDescent="0.25"/>
  <cols>
    <col min="1" max="1" width="7.5703125" style="6" customWidth="1"/>
    <col min="2" max="2" width="59.5703125" customWidth="1"/>
    <col min="3" max="3" width="11.28515625" style="5" customWidth="1"/>
    <col min="4" max="4" width="14.28515625" style="6" customWidth="1"/>
    <col min="5" max="5" width="16" style="6" customWidth="1"/>
    <col min="6" max="6" width="14.28515625" style="5" customWidth="1"/>
    <col min="7" max="7" width="26.140625" style="6" customWidth="1"/>
    <col min="8" max="8" width="23.28515625" style="6" customWidth="1"/>
    <col min="9" max="9" width="12.7109375" style="6" customWidth="1"/>
    <col min="10" max="10" width="11.5703125" style="9" customWidth="1"/>
    <col min="11" max="11" width="9.42578125" style="6" customWidth="1"/>
    <col min="12" max="12" width="13.7109375" style="6" customWidth="1"/>
    <col min="13" max="13" width="8.7109375" style="6" customWidth="1"/>
    <col min="14" max="14" width="11.5703125" style="6" customWidth="1"/>
    <col min="15" max="15" width="4.85546875" customWidth="1"/>
  </cols>
  <sheetData>
    <row r="1" spans="1:16" s="151" customFormat="1" ht="15" customHeight="1" x14ac:dyDescent="0.25">
      <c r="A1" s="146" t="s">
        <v>2819</v>
      </c>
      <c r="B1" s="147"/>
      <c r="C1" s="148"/>
      <c r="D1" s="149"/>
      <c r="E1" s="149"/>
      <c r="F1" s="148"/>
      <c r="G1" s="149"/>
      <c r="H1" s="149"/>
      <c r="I1" s="149"/>
      <c r="J1" s="150"/>
      <c r="K1" s="149"/>
      <c r="L1" s="272" t="s">
        <v>0</v>
      </c>
      <c r="M1" s="272"/>
      <c r="N1" s="272"/>
    </row>
    <row r="2" spans="1:16" s="151" customFormat="1" ht="15.75" x14ac:dyDescent="0.25">
      <c r="A2" s="152"/>
      <c r="B2" s="153"/>
      <c r="C2" s="154"/>
      <c r="D2" s="152"/>
      <c r="E2" s="152"/>
      <c r="F2" s="154"/>
      <c r="G2" s="152"/>
      <c r="H2" s="152"/>
      <c r="I2" s="152"/>
      <c r="J2" s="155"/>
      <c r="K2" s="152"/>
      <c r="L2" s="152"/>
      <c r="M2" s="156"/>
      <c r="N2" s="157"/>
    </row>
    <row r="3" spans="1:16" s="151" customFormat="1" ht="13.5" customHeight="1" x14ac:dyDescent="0.25">
      <c r="A3" s="273" t="s">
        <v>1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</row>
    <row r="4" spans="1:16" s="151" customFormat="1" ht="13.5" customHeight="1" x14ac:dyDescent="0.25">
      <c r="A4" s="273" t="s">
        <v>2</v>
      </c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</row>
    <row r="5" spans="1:16" s="151" customFormat="1" ht="13.5" customHeight="1" x14ac:dyDescent="0.25">
      <c r="A5" s="274" t="s">
        <v>3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</row>
    <row r="6" spans="1:16" s="151" customFormat="1" ht="13.5" customHeight="1" x14ac:dyDescent="0.25">
      <c r="A6" s="275" t="s">
        <v>4</v>
      </c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</row>
    <row r="7" spans="1:16" s="151" customFormat="1" ht="15.75" x14ac:dyDescent="0.25">
      <c r="A7" s="158" t="s">
        <v>5</v>
      </c>
      <c r="C7" s="154"/>
      <c r="D7" s="159"/>
      <c r="E7" s="159"/>
      <c r="F7" s="160"/>
      <c r="G7" s="152"/>
      <c r="H7" s="160" t="s">
        <v>22</v>
      </c>
      <c r="I7" s="159"/>
      <c r="J7" s="161"/>
      <c r="K7" s="159"/>
      <c r="L7" s="159" t="s">
        <v>23</v>
      </c>
      <c r="M7" s="159"/>
      <c r="N7" s="162"/>
    </row>
    <row r="8" spans="1:16" s="151" customFormat="1" ht="15.75" x14ac:dyDescent="0.25">
      <c r="A8" s="163" t="s">
        <v>264</v>
      </c>
      <c r="B8" s="164" t="s">
        <v>1853</v>
      </c>
      <c r="C8" s="165"/>
      <c r="D8" s="166"/>
      <c r="E8" s="159"/>
      <c r="F8" s="160"/>
      <c r="G8" s="152"/>
      <c r="H8" s="167" t="s">
        <v>6</v>
      </c>
      <c r="I8" s="271" t="s">
        <v>5162</v>
      </c>
      <c r="J8" s="271"/>
      <c r="K8" s="166"/>
      <c r="L8" s="167" t="s">
        <v>24</v>
      </c>
      <c r="M8" s="271" t="s">
        <v>38</v>
      </c>
      <c r="N8" s="271"/>
    </row>
    <row r="9" spans="1:16" s="151" customFormat="1" ht="15.75" x14ac:dyDescent="0.25">
      <c r="A9" s="158" t="s">
        <v>35</v>
      </c>
      <c r="C9" s="154"/>
      <c r="D9" s="166"/>
      <c r="E9" s="159"/>
      <c r="F9" s="160"/>
      <c r="G9" s="152"/>
      <c r="H9" s="159"/>
      <c r="I9" s="271" t="s">
        <v>3911</v>
      </c>
      <c r="J9" s="271"/>
      <c r="K9" s="271"/>
      <c r="L9" s="159" t="s">
        <v>36</v>
      </c>
      <c r="M9" s="159"/>
      <c r="N9" s="162"/>
    </row>
    <row r="10" spans="1:16" s="151" customFormat="1" ht="15.75" x14ac:dyDescent="0.25">
      <c r="A10" s="163" t="s">
        <v>265</v>
      </c>
      <c r="B10" s="168" t="s">
        <v>5493</v>
      </c>
      <c r="C10" s="169"/>
      <c r="D10" s="170" t="s">
        <v>25</v>
      </c>
      <c r="E10" s="159"/>
      <c r="F10" s="160"/>
      <c r="G10" s="159"/>
      <c r="H10" s="159"/>
      <c r="I10" s="271"/>
      <c r="J10" s="271"/>
      <c r="K10" s="167"/>
      <c r="L10" s="167" t="s">
        <v>2820</v>
      </c>
      <c r="M10" s="171">
        <v>2026</v>
      </c>
      <c r="N10" s="162"/>
    </row>
    <row r="11" spans="1:16" s="151" customFormat="1" ht="9.75" customHeight="1" x14ac:dyDescent="0.25">
      <c r="A11" s="153"/>
      <c r="B11" s="172"/>
      <c r="C11" s="173"/>
      <c r="D11" s="159"/>
      <c r="E11" s="159"/>
      <c r="F11" s="160"/>
      <c r="G11" s="159"/>
      <c r="H11" s="159"/>
      <c r="I11" s="159"/>
      <c r="J11" s="161"/>
      <c r="K11" s="159"/>
      <c r="L11" s="162"/>
      <c r="M11" s="159"/>
      <c r="N11" s="162"/>
    </row>
    <row r="12" spans="1:16" s="151" customFormat="1" ht="12.75" customHeight="1" x14ac:dyDescent="0.25">
      <c r="A12" s="262" t="s">
        <v>26</v>
      </c>
      <c r="B12" s="174"/>
      <c r="C12" s="175"/>
      <c r="D12" s="176"/>
      <c r="E12" s="177"/>
      <c r="F12" s="178"/>
      <c r="G12" s="177" t="s">
        <v>7</v>
      </c>
      <c r="H12" s="265" t="s">
        <v>27</v>
      </c>
      <c r="I12" s="259" t="s">
        <v>30</v>
      </c>
      <c r="J12" s="268" t="s">
        <v>31</v>
      </c>
      <c r="K12" s="259" t="s">
        <v>32</v>
      </c>
      <c r="L12" s="280" t="s">
        <v>34</v>
      </c>
      <c r="M12" s="259" t="s">
        <v>12</v>
      </c>
      <c r="N12" s="259" t="s">
        <v>13</v>
      </c>
    </row>
    <row r="13" spans="1:16" s="151" customFormat="1" ht="12.75" customHeight="1" x14ac:dyDescent="0.25">
      <c r="A13" s="263"/>
      <c r="B13" s="179" t="s">
        <v>9</v>
      </c>
      <c r="C13" s="180" t="s">
        <v>37</v>
      </c>
      <c r="D13" s="181" t="s">
        <v>10</v>
      </c>
      <c r="E13" s="182" t="s">
        <v>10</v>
      </c>
      <c r="F13" s="183" t="s">
        <v>29</v>
      </c>
      <c r="G13" s="182" t="s">
        <v>8</v>
      </c>
      <c r="H13" s="266"/>
      <c r="I13" s="260"/>
      <c r="J13" s="269"/>
      <c r="K13" s="260"/>
      <c r="L13" s="281"/>
      <c r="M13" s="260"/>
      <c r="N13" s="260"/>
    </row>
    <row r="14" spans="1:16" s="151" customFormat="1" ht="12.75" customHeight="1" x14ac:dyDescent="0.25">
      <c r="A14" s="264"/>
      <c r="B14" s="183" t="s">
        <v>14</v>
      </c>
      <c r="C14" s="180"/>
      <c r="D14" s="184" t="s">
        <v>15</v>
      </c>
      <c r="E14" s="185" t="s">
        <v>16</v>
      </c>
      <c r="F14" s="183"/>
      <c r="G14" s="182" t="s">
        <v>11</v>
      </c>
      <c r="H14" s="267"/>
      <c r="I14" s="261"/>
      <c r="J14" s="270"/>
      <c r="K14" s="261"/>
      <c r="L14" s="282"/>
      <c r="M14" s="261"/>
      <c r="N14" s="261"/>
    </row>
    <row r="15" spans="1:16" s="190" customFormat="1" ht="15.75" x14ac:dyDescent="0.25">
      <c r="A15" s="186" t="s">
        <v>28</v>
      </c>
      <c r="B15" s="187" t="s">
        <v>19</v>
      </c>
      <c r="C15" s="186" t="s">
        <v>37</v>
      </c>
      <c r="D15" s="187" t="s">
        <v>20</v>
      </c>
      <c r="E15" s="186" t="s">
        <v>21</v>
      </c>
      <c r="F15" s="187" t="s">
        <v>29</v>
      </c>
      <c r="G15" s="186" t="s">
        <v>266</v>
      </c>
      <c r="H15" s="188" t="s">
        <v>267</v>
      </c>
      <c r="I15" s="186" t="s">
        <v>30</v>
      </c>
      <c r="J15" s="189" t="s">
        <v>31</v>
      </c>
      <c r="K15" s="186" t="s">
        <v>32</v>
      </c>
      <c r="L15" s="187" t="s">
        <v>33</v>
      </c>
      <c r="M15" s="186" t="s">
        <v>17</v>
      </c>
      <c r="N15" s="186" t="s">
        <v>18</v>
      </c>
    </row>
    <row r="16" spans="1:16" s="193" customFormat="1" ht="15" customHeight="1" x14ac:dyDescent="0.25">
      <c r="A16" s="227" t="s">
        <v>5495</v>
      </c>
      <c r="B16" s="18" t="str">
        <f>VLOOKUP(C16,Table2[#Data],2,0)</f>
        <v>SPB BRAVO MARINE / YDXJ2</v>
      </c>
      <c r="C16" s="7">
        <v>525501154</v>
      </c>
      <c r="D16" s="7" t="s">
        <v>5354</v>
      </c>
      <c r="E16" s="7" t="s">
        <v>5513</v>
      </c>
      <c r="F16" s="7" t="s">
        <v>5514</v>
      </c>
      <c r="G16" s="7" t="s">
        <v>5523</v>
      </c>
      <c r="H16" s="7" t="s">
        <v>3874</v>
      </c>
      <c r="I16" s="7">
        <f>VLOOKUP(C16,Table2[#Data],3,0)</f>
        <v>130</v>
      </c>
      <c r="J16" s="7">
        <f>VLOOKUP(C16,Table2[#Data],4,0)</f>
        <v>7689</v>
      </c>
      <c r="K16" s="7" t="str">
        <f>VLOOKUP(C16,Table2[#Data],5,0)</f>
        <v>3.0</v>
      </c>
      <c r="L16" s="7" t="s">
        <v>2425</v>
      </c>
      <c r="M16" s="7" t="s">
        <v>46</v>
      </c>
      <c r="N16" s="7" t="s">
        <v>5535</v>
      </c>
      <c r="P16" s="193" t="str">
        <f t="shared" ref="P16" si="0">CONCATENATE("Qso ",B16," LP ",D16," ETA ",E16," ", F16)</f>
        <v>Qso SPB BRAVO MARINE / YDXJ2 LP TARAHAN ETA CILACAP 1906/0500LT</v>
      </c>
    </row>
    <row r="17" spans="1:16" s="193" customFormat="1" ht="15" customHeight="1" x14ac:dyDescent="0.25">
      <c r="A17" s="227" t="s">
        <v>5496</v>
      </c>
      <c r="B17" s="18" t="str">
        <f>VLOOKUP(C17,Table2[#Data],2,0)</f>
        <v>MV. SARTIKA BARUNA / POSR</v>
      </c>
      <c r="C17" s="7">
        <v>525012201</v>
      </c>
      <c r="D17" s="7" t="s">
        <v>5354</v>
      </c>
      <c r="E17" s="7" t="s">
        <v>5511</v>
      </c>
      <c r="F17" s="7" t="s">
        <v>5515</v>
      </c>
      <c r="G17" s="7" t="s">
        <v>5524</v>
      </c>
      <c r="H17" s="7" t="s">
        <v>3874</v>
      </c>
      <c r="I17" s="7">
        <f>VLOOKUP(C17,Table2[#Data],3,0)</f>
        <v>140</v>
      </c>
      <c r="J17" s="7">
        <f>VLOOKUP(C17,Table2[#Data],4,0)</f>
        <v>11913</v>
      </c>
      <c r="K17" s="7" t="str">
        <f>VLOOKUP(C17,Table2[#Data],5,0)</f>
        <v>5.6</v>
      </c>
      <c r="L17" s="7" t="s">
        <v>2425</v>
      </c>
      <c r="M17" s="7" t="s">
        <v>249</v>
      </c>
      <c r="N17" s="7" t="s">
        <v>5536</v>
      </c>
      <c r="P17" s="193" t="str">
        <f t="shared" ref="P17:P18" si="1">CONCATENATE("Qso ",B17," LP ",D17," ETA ",E17," ", F17)</f>
        <v>Qso MV. SARTIKA BARUNA / POSR LP TARAHAN ETA SURALAYA 1706/0900LT</v>
      </c>
    </row>
    <row r="18" spans="1:16" s="193" customFormat="1" ht="15" customHeight="1" x14ac:dyDescent="0.25">
      <c r="A18" s="227" t="s">
        <v>5497</v>
      </c>
      <c r="B18" s="18" t="str">
        <f>VLOOKUP(C18,Table2[#Data],2,0)</f>
        <v>TB.WLD 48/YDD3319-TK.LND 888</v>
      </c>
      <c r="C18" s="7">
        <v>525901684</v>
      </c>
      <c r="D18" s="7" t="s">
        <v>5510</v>
      </c>
      <c r="E18" s="2" t="s">
        <v>5354</v>
      </c>
      <c r="F18" s="7" t="s">
        <v>5516</v>
      </c>
      <c r="G18" s="7" t="s">
        <v>5525</v>
      </c>
      <c r="H18" s="7" t="s">
        <v>5526</v>
      </c>
      <c r="I18" s="7" t="str">
        <f>VLOOKUP(C18,Table2[#Data],3,0)</f>
        <v>27.1/87.78</v>
      </c>
      <c r="J18" s="7" t="str">
        <f>VLOOKUP(C18,Table2[#Data],4,0)</f>
        <v>210/3433</v>
      </c>
      <c r="K18" s="7" t="str">
        <f>VLOOKUP(C18,Table2[#Data],5,0)</f>
        <v>2.8/4.9</v>
      </c>
      <c r="L18" s="7" t="s">
        <v>2311</v>
      </c>
      <c r="M18" s="7" t="s">
        <v>1534</v>
      </c>
      <c r="N18" s="7" t="s">
        <v>5336</v>
      </c>
      <c r="P18" s="193" t="str">
        <f t="shared" si="1"/>
        <v>Qso TB.WLD 48/YDD3319-TK.LND 888 LP BOJONEGARA ETA TARAHAN 1606/2000LT</v>
      </c>
    </row>
    <row r="19" spans="1:16" s="193" customFormat="1" ht="15" customHeight="1" x14ac:dyDescent="0.25">
      <c r="A19" s="227" t="s">
        <v>5498</v>
      </c>
      <c r="B19" s="18" t="str">
        <f>VLOOKUP(C19,Table2[#Data],2,0)</f>
        <v>TB.MDM BENOA/YD5132-TK.MDM 11</v>
      </c>
      <c r="C19" s="7">
        <v>525025046</v>
      </c>
      <c r="D19" s="7" t="s">
        <v>5511</v>
      </c>
      <c r="E19" s="7" t="s">
        <v>5354</v>
      </c>
      <c r="F19" s="7" t="s">
        <v>5517</v>
      </c>
      <c r="G19" s="7" t="s">
        <v>5527</v>
      </c>
      <c r="H19" s="7" t="s">
        <v>5528</v>
      </c>
      <c r="I19" s="7" t="str">
        <f>VLOOKUP(C19,Table2[#Data],3,0)</f>
        <v>29.50/120</v>
      </c>
      <c r="J19" s="7" t="str">
        <f>VLOOKUP(C19,Table2[#Data],4,0)</f>
        <v>269/8051</v>
      </c>
      <c r="K19" s="7" t="str">
        <f>VLOOKUP(C19,Table2[#Data],5,0)</f>
        <v>3.6/1.0</v>
      </c>
      <c r="L19" s="7" t="s">
        <v>2311</v>
      </c>
      <c r="M19" s="7" t="s">
        <v>41</v>
      </c>
      <c r="N19" s="7" t="s">
        <v>5336</v>
      </c>
      <c r="P19" s="193" t="str">
        <f t="shared" ref="P19:P24" si="2">CONCATENATE("Qso ",B19," LP ",D19," ETA ",E19," ", F19)</f>
        <v>Qso TB.MDM BENOA/YD5132-TK.MDM 11 LP SURALAYA ETA TARAHAN 1606/1930LT</v>
      </c>
    </row>
    <row r="20" spans="1:16" s="193" customFormat="1" ht="15.75" x14ac:dyDescent="0.25">
      <c r="A20" s="227" t="s">
        <v>5499</v>
      </c>
      <c r="B20" s="18" t="str">
        <f>VLOOKUP(C20,Table2[#Data],2,0)</f>
        <v>MV.BAIK/YCGY2</v>
      </c>
      <c r="C20" s="7">
        <v>525200821</v>
      </c>
      <c r="D20" s="7" t="s">
        <v>5354</v>
      </c>
      <c r="E20" s="7" t="s">
        <v>5450</v>
      </c>
      <c r="F20" s="7" t="s">
        <v>5518</v>
      </c>
      <c r="G20" s="7" t="s">
        <v>5529</v>
      </c>
      <c r="H20" s="7" t="s">
        <v>3874</v>
      </c>
      <c r="I20" s="7">
        <f>VLOOKUP(C20,Table2[#Data],3,0)</f>
        <v>93</v>
      </c>
      <c r="J20" s="7">
        <f>VLOOKUP(C20,Table2[#Data],4,0)</f>
        <v>3541</v>
      </c>
      <c r="K20" s="7">
        <f>VLOOKUP(C20,Table2[#Data],5,0)</f>
        <v>7.19</v>
      </c>
      <c r="L20" s="245" t="s">
        <v>2311</v>
      </c>
      <c r="M20" s="7" t="s">
        <v>1534</v>
      </c>
      <c r="N20" s="7" t="s">
        <v>5537</v>
      </c>
      <c r="P20" s="193" t="str">
        <f t="shared" si="2"/>
        <v>Qso MV.BAIK/YCGY2 LP TARAHAN ETA MARUNDA 1706/0630LT</v>
      </c>
    </row>
    <row r="21" spans="1:16" s="193" customFormat="1" ht="15" customHeight="1" x14ac:dyDescent="0.25">
      <c r="A21" s="227" t="s">
        <v>5500</v>
      </c>
      <c r="B21" s="18" t="str">
        <f>VLOOKUP(C21,Table2[#Data],2,0)</f>
        <v>TB.CITRA 57/YDA3867-TK.CITRA 3009</v>
      </c>
      <c r="C21" s="7">
        <v>525003671</v>
      </c>
      <c r="D21" s="7" t="s">
        <v>5354</v>
      </c>
      <c r="E21" s="7" t="s">
        <v>5477</v>
      </c>
      <c r="F21" s="7" t="s">
        <v>5519</v>
      </c>
      <c r="G21" s="7" t="s">
        <v>5530</v>
      </c>
      <c r="H21" s="7" t="s">
        <v>3874</v>
      </c>
      <c r="I21" s="7" t="str">
        <f>VLOOKUP(C21,Table2[#Data],3,0)</f>
        <v>26/91.44</v>
      </c>
      <c r="J21" s="7" t="str">
        <f>VLOOKUP(C21,Table2[#Data],4,0)</f>
        <v>197/3176</v>
      </c>
      <c r="K21" s="7" t="str">
        <f>VLOOKUP(C21,Table2[#Data],5,0)</f>
        <v>3.5/0.7</v>
      </c>
      <c r="L21" s="7" t="s">
        <v>2425</v>
      </c>
      <c r="M21" s="7" t="s">
        <v>154</v>
      </c>
      <c r="N21" s="7" t="s">
        <v>5538</v>
      </c>
      <c r="P21" s="193" t="str">
        <f t="shared" si="2"/>
        <v>Qso TB.CITRA 57/YDA3867-TK.CITRA 3009 LP TARAHAN ETA LONTAR 1806/0300LT</v>
      </c>
    </row>
    <row r="22" spans="1:16" s="193" customFormat="1" ht="15" customHeight="1" x14ac:dyDescent="0.25">
      <c r="A22" s="227" t="s">
        <v>5501</v>
      </c>
      <c r="B22" s="18" t="str">
        <f>VLOOKUP(C22,Table2[#Data],2,0)</f>
        <v>TB.SPGM 1307/YDA4312-TK.MMSS2507</v>
      </c>
      <c r="C22" s="7">
        <v>525003462</v>
      </c>
      <c r="D22" s="7" t="s">
        <v>5450</v>
      </c>
      <c r="E22" s="7" t="s">
        <v>3873</v>
      </c>
      <c r="F22" s="7" t="s">
        <v>5520</v>
      </c>
      <c r="G22" s="7" t="s">
        <v>5531</v>
      </c>
      <c r="H22" s="7" t="s">
        <v>5532</v>
      </c>
      <c r="I22" s="7" t="str">
        <f>VLOOKUP(C22,Table2[#Data],3,0)</f>
        <v>21.9/73.15</v>
      </c>
      <c r="J22" s="7" t="str">
        <f>VLOOKUP(C22,Table2[#Data],4,0)</f>
        <v>134/2200</v>
      </c>
      <c r="K22" s="7" t="str">
        <f>VLOOKUP(C22,Table2[#Data],5,0)</f>
        <v>2.4/1.3</v>
      </c>
      <c r="L22" s="7" t="s">
        <v>286</v>
      </c>
      <c r="M22" s="7" t="s">
        <v>4428</v>
      </c>
      <c r="N22" s="7" t="s">
        <v>5336</v>
      </c>
      <c r="P22" s="193" t="str">
        <f t="shared" si="2"/>
        <v>Qso TB.SPGM 1307/YDA4312-TK.MMSS2507 LP MARUNDA ETA PANJANG 1606/2330LT</v>
      </c>
    </row>
    <row r="23" spans="1:16" s="193" customFormat="1" ht="15.75" x14ac:dyDescent="0.25">
      <c r="A23" s="227" t="s">
        <v>5463</v>
      </c>
      <c r="B23" s="18" t="str">
        <f>VLOOKUP(C23,Table2[#Data],2,0)</f>
        <v>MT.HUANG SHAN 16/BPCH4</v>
      </c>
      <c r="C23" s="7">
        <v>413392340</v>
      </c>
      <c r="D23" s="7" t="s">
        <v>1134</v>
      </c>
      <c r="E23" s="7" t="s">
        <v>3873</v>
      </c>
      <c r="F23" s="7" t="s">
        <v>5520</v>
      </c>
      <c r="G23" s="7" t="s">
        <v>5531</v>
      </c>
      <c r="H23" s="7" t="s">
        <v>5532</v>
      </c>
      <c r="I23" s="7" t="str">
        <f>VLOOKUP(C23,Table2[#Data],3,0)</f>
        <v>152.7</v>
      </c>
      <c r="J23" s="7">
        <f>VLOOKUP(C23,Table2[#Data],4,0)</f>
        <v>12964</v>
      </c>
      <c r="K23" s="7" t="str">
        <f>VLOOKUP(C23,Table2[#Data],5,0)</f>
        <v>6.8</v>
      </c>
      <c r="L23" s="7" t="s">
        <v>2311</v>
      </c>
      <c r="M23" s="7" t="s">
        <v>2096</v>
      </c>
      <c r="N23" s="7" t="s">
        <v>5491</v>
      </c>
      <c r="P23" s="193" t="str">
        <f t="shared" si="2"/>
        <v>Qso MT.HUANG SHAN 16/BPCH4 LP SINGAPORE ETA PANJANG 1606/2330LT</v>
      </c>
    </row>
    <row r="24" spans="1:16" s="193" customFormat="1" ht="15" customHeight="1" x14ac:dyDescent="0.25">
      <c r="A24" s="227" t="s">
        <v>5502</v>
      </c>
      <c r="B24" s="18" t="str">
        <f>VLOOKUP(C24,Table2[#Data],2,0)</f>
        <v>TB LL DJU MING/YDC4031 - TK LL 2508</v>
      </c>
      <c r="C24" s="7">
        <v>525200436</v>
      </c>
      <c r="D24" s="253" t="s">
        <v>1134</v>
      </c>
      <c r="E24" s="7" t="s">
        <v>3873</v>
      </c>
      <c r="F24" s="7" t="s">
        <v>5521</v>
      </c>
      <c r="G24" s="7" t="s">
        <v>5460</v>
      </c>
      <c r="H24" s="7" t="s">
        <v>5533</v>
      </c>
      <c r="I24" s="7" t="str">
        <f>VLOOKUP(C24,Table2[#Data],3,0)</f>
        <v>21,6/73,15</v>
      </c>
      <c r="J24" s="7" t="str">
        <f>VLOOKUP(C24,Table2[#Data],4,0)</f>
        <v>139/1982</v>
      </c>
      <c r="K24" s="7" t="str">
        <f>VLOOKUP(C24,Table2[#Data],5,0)</f>
        <v>3,1/4,8</v>
      </c>
      <c r="L24" s="245" t="s">
        <v>286</v>
      </c>
      <c r="M24" s="7" t="s">
        <v>71</v>
      </c>
      <c r="N24" s="7" t="s">
        <v>5336</v>
      </c>
      <c r="P24" s="193" t="str">
        <f t="shared" si="2"/>
        <v>Qso TB LL DJU MING/YDC4031 - TK LL 2508 LP SINGAPORE ETA PANJANG 1706/0100LT</v>
      </c>
    </row>
    <row r="25" spans="1:16" s="193" customFormat="1" ht="15.75" x14ac:dyDescent="0.25">
      <c r="A25" s="227" t="s">
        <v>5503</v>
      </c>
      <c r="B25" s="18" t="str">
        <f>VLOOKUP(C25,Table2[#Data],2,0)</f>
        <v>MT. BERG/YCMW2</v>
      </c>
      <c r="C25" s="7">
        <v>525119107</v>
      </c>
      <c r="D25" s="7" t="s">
        <v>5512</v>
      </c>
      <c r="E25" s="7" t="s">
        <v>3873</v>
      </c>
      <c r="F25" s="7" t="s">
        <v>5522</v>
      </c>
      <c r="G25" s="7" t="s">
        <v>5456</v>
      </c>
      <c r="H25" s="7" t="s">
        <v>79</v>
      </c>
      <c r="I25" s="7">
        <f>VLOOKUP(C25,Table2[#Data],3,0)</f>
        <v>143</v>
      </c>
      <c r="J25" s="7">
        <f>VLOOKUP(C25,Table2[#Data],4,0)</f>
        <v>11321</v>
      </c>
      <c r="K25" s="7" t="str">
        <f>VLOOKUP(C25,Table2[#Data],5,0)</f>
        <v>6.8</v>
      </c>
      <c r="L25" s="7" t="s">
        <v>5534</v>
      </c>
      <c r="M25" s="7" t="s">
        <v>96</v>
      </c>
      <c r="N25" s="7" t="s">
        <v>5492</v>
      </c>
      <c r="P25" s="193" t="str">
        <f t="shared" ref="P25:P26" si="3">CONCATENATE("Qso ",B25," LP ",D25," ETA ",E25," ", F25)</f>
        <v>Qso MT. BERG/YCMW2 LP BALONGAN ETA PANJANG 1706/0200LT</v>
      </c>
    </row>
    <row r="26" spans="1:16" s="193" customFormat="1" ht="15" customHeight="1" x14ac:dyDescent="0.25">
      <c r="A26" s="227" t="s">
        <v>5539</v>
      </c>
      <c r="B26" s="18" t="str">
        <f>VLOOKUP(C26,Table2[#Data],2,0)</f>
        <v>KMP MUTIARA FERINDO 7/YCDH2</v>
      </c>
      <c r="C26" s="7">
        <v>525200925</v>
      </c>
      <c r="D26" s="253" t="s">
        <v>3873</v>
      </c>
      <c r="E26" s="7" t="s">
        <v>5435</v>
      </c>
      <c r="F26" s="7" t="s">
        <v>5546</v>
      </c>
      <c r="G26" s="7" t="s">
        <v>5549</v>
      </c>
      <c r="H26" s="7" t="s">
        <v>3874</v>
      </c>
      <c r="I26" s="7">
        <f>VLOOKUP(C26,Table2[#Data],3,0)</f>
        <v>195</v>
      </c>
      <c r="J26" s="7">
        <f>VLOOKUP(C26,Table2[#Data],4,0)</f>
        <v>20563</v>
      </c>
      <c r="K26" s="7" t="str">
        <f>VLOOKUP(C26,Table2[#Data],5,0)</f>
        <v>6.7</v>
      </c>
      <c r="L26" s="245" t="s">
        <v>5436</v>
      </c>
      <c r="M26" s="7" t="s">
        <v>48</v>
      </c>
      <c r="N26" s="7" t="s">
        <v>5451</v>
      </c>
      <c r="P26" s="193" t="str">
        <f t="shared" si="3"/>
        <v>Qso KMP MUTIARA FERINDO 7/YCDH2 LP PANJANG ETA CIGADING 1706/0730LT</v>
      </c>
    </row>
    <row r="27" spans="1:16" s="193" customFormat="1" ht="15.75" x14ac:dyDescent="0.25">
      <c r="A27" s="227" t="s">
        <v>5540</v>
      </c>
      <c r="B27" s="18" t="str">
        <f>VLOOKUP(C27,Table2[#Data],2,0)</f>
        <v>TB.JANE 221/YD5373-TK.VANIA 311</v>
      </c>
      <c r="C27" s="7">
        <v>525901185</v>
      </c>
      <c r="D27" s="7" t="s">
        <v>5510</v>
      </c>
      <c r="E27" s="7" t="s">
        <v>5354</v>
      </c>
      <c r="F27" s="7" t="s">
        <v>5547</v>
      </c>
      <c r="G27" s="7" t="s">
        <v>5456</v>
      </c>
      <c r="H27" s="7" t="s">
        <v>79</v>
      </c>
      <c r="I27" s="7" t="str">
        <f>VLOOKUP(C27,Table2[#Data],3,0)</f>
        <v>28.35/94.5</v>
      </c>
      <c r="J27" s="7" t="str">
        <f>VLOOKUP(C27,Table2[#Data],4,0)</f>
        <v>254/4131</v>
      </c>
      <c r="K27" s="7" t="str">
        <f>VLOOKUP(C27,Table2[#Data],5,0)</f>
        <v>3.3/4.8</v>
      </c>
      <c r="L27" s="7" t="s">
        <v>2311</v>
      </c>
      <c r="M27" s="7" t="s">
        <v>2096</v>
      </c>
      <c r="N27" s="7" t="s">
        <v>5336</v>
      </c>
      <c r="P27" s="193" t="str">
        <f t="shared" ref="P27:P28" si="4">CONCATENATE("Qso ",B27," LP ",D27," ETA ",E27," ", F27)</f>
        <v>Qso TB.JANE 221/YD5373-TK.VANIA 311 LP BOJONEGARA ETA TARAHAN 1706/0400LT</v>
      </c>
    </row>
    <row r="28" spans="1:16" s="193" customFormat="1" ht="15" customHeight="1" x14ac:dyDescent="0.25">
      <c r="A28" s="227" t="s">
        <v>5541</v>
      </c>
      <c r="B28" s="18" t="str">
        <f>VLOOKUP(C28,Table2[#Data],2,0)</f>
        <v>TB.JOHAN JAYA 131/YDB4451-TK.KAPUAS JAYA 331</v>
      </c>
      <c r="C28" s="7">
        <v>525023320</v>
      </c>
      <c r="D28" s="253" t="s">
        <v>5545</v>
      </c>
      <c r="E28" s="7" t="s">
        <v>5354</v>
      </c>
      <c r="F28" s="7" t="s">
        <v>5548</v>
      </c>
      <c r="G28" s="7" t="s">
        <v>5480</v>
      </c>
      <c r="H28" s="7" t="s">
        <v>5555</v>
      </c>
      <c r="I28" s="7" t="str">
        <f>VLOOKUP(C28,Table2[#Data],3,0)</f>
        <v>27.7/97.2</v>
      </c>
      <c r="J28" s="7" t="str">
        <f>VLOOKUP(C28,Table2[#Data],4,0)</f>
        <v>232/4169</v>
      </c>
      <c r="K28" s="7" t="str">
        <f>VLOOKUP(C28,Table2[#Data],5,0)</f>
        <v>3.1/3.5</v>
      </c>
      <c r="L28" s="245" t="s">
        <v>2311</v>
      </c>
      <c r="M28" s="7" t="s">
        <v>46</v>
      </c>
      <c r="N28" s="7" t="s">
        <v>5457</v>
      </c>
      <c r="P28" s="193" t="str">
        <f t="shared" si="4"/>
        <v>Qso TB.JOHAN JAYA 131/YDB4451-TK.KAPUAS JAYA 331 LP INDRAMAYU ETA TARAHAN 1706/0530LT</v>
      </c>
    </row>
    <row r="29" spans="1:16" s="193" customFormat="1" ht="15.75" x14ac:dyDescent="0.25">
      <c r="A29" s="227" t="s">
        <v>5479</v>
      </c>
      <c r="B29" s="18" t="str">
        <f>VLOOKUP(C29,Table2[#Data],2,0)</f>
        <v>TB. JOHAN JAYA 136 / YDB4517 - TK. KAPUAS JAYA 3652</v>
      </c>
      <c r="C29" s="7">
        <v>525023303</v>
      </c>
      <c r="D29" s="7" t="s">
        <v>5552</v>
      </c>
      <c r="E29" s="7" t="s">
        <v>5354</v>
      </c>
      <c r="F29" s="7" t="s">
        <v>5553</v>
      </c>
      <c r="G29" s="7" t="s">
        <v>5456</v>
      </c>
      <c r="H29" s="7" t="s">
        <v>79</v>
      </c>
      <c r="I29" s="7" t="str">
        <f>VLOOKUP(C29,Table2[#Data],3,0)</f>
        <v>27/106</v>
      </c>
      <c r="J29" s="7" t="str">
        <f>VLOOKUP(C29,Table2[#Data],4,0)</f>
        <v>232/5226</v>
      </c>
      <c r="K29" s="7" t="str">
        <f>VLOOKUP(C29,Table2[#Data],5,0)</f>
        <v>3,7/6,9</v>
      </c>
      <c r="L29" s="7" t="s">
        <v>2311</v>
      </c>
      <c r="M29" s="7" t="s">
        <v>46</v>
      </c>
      <c r="N29" s="7" t="s">
        <v>5457</v>
      </c>
      <c r="P29" s="193" t="str">
        <f t="shared" ref="P29:P30" si="5">CONCATENATE("Qso ",B29," LP ",D29," ETA ",E29," ", F29)</f>
        <v>Qso TB. JOHAN JAYA 136 / YDB4517 - TK. KAPUAS JAYA 3652 LP PULAU KALI ETA TARAHAN 1706/0700LT</v>
      </c>
    </row>
    <row r="30" spans="1:16" s="193" customFormat="1" ht="15" customHeight="1" x14ac:dyDescent="0.25">
      <c r="A30" s="227" t="s">
        <v>5550</v>
      </c>
      <c r="B30" s="18" t="str">
        <f>VLOOKUP(C30,Table2[#Data],2,0)</f>
        <v>TB SRIKANDI BARUNA 2205/YDC4678 - TK BARUNA POWER 3304</v>
      </c>
      <c r="C30" s="7">
        <v>525112010</v>
      </c>
      <c r="D30" s="253" t="s">
        <v>5455</v>
      </c>
      <c r="E30" s="7" t="s">
        <v>5354</v>
      </c>
      <c r="F30" s="7" t="s">
        <v>5553</v>
      </c>
      <c r="G30" s="7" t="s">
        <v>5456</v>
      </c>
      <c r="H30" s="7" t="s">
        <v>79</v>
      </c>
      <c r="I30" s="7" t="str">
        <f>VLOOKUP(C30,Table2[#Data],3,0)</f>
        <v>30/100</v>
      </c>
      <c r="J30" s="7" t="str">
        <f>VLOOKUP(C30,Table2[#Data],4,0)</f>
        <v>271/4258</v>
      </c>
      <c r="K30" s="7" t="str">
        <f>VLOOKUP(C30,Table2[#Data],5,0)</f>
        <v>3.0/4.7</v>
      </c>
      <c r="L30" s="245" t="s">
        <v>2311</v>
      </c>
      <c r="M30" s="7" t="s">
        <v>249</v>
      </c>
      <c r="N30" s="7" t="s">
        <v>5457</v>
      </c>
      <c r="P30" s="193" t="str">
        <f t="shared" si="5"/>
        <v>Qso TB SRIKANDI BARUNA 2205/YDC4678 - TK BARUNA POWER 3304 LP MERAK ETA TARAHAN 1706/0700LT</v>
      </c>
    </row>
    <row r="31" spans="1:16" s="193" customFormat="1" ht="15.75" x14ac:dyDescent="0.25">
      <c r="A31" s="227" t="s">
        <v>5551</v>
      </c>
      <c r="B31" s="18" t="str">
        <f>VLOOKUP(C31,Table2[#Data],2,0)</f>
        <v>SPB. PATRIA ANDROMEDA 1/YBAA2</v>
      </c>
      <c r="C31" s="7">
        <v>525023155</v>
      </c>
      <c r="D31" s="7" t="s">
        <v>5513</v>
      </c>
      <c r="E31" s="7" t="s">
        <v>5354</v>
      </c>
      <c r="F31" s="7" t="s">
        <v>5554</v>
      </c>
      <c r="G31" s="7" t="s">
        <v>5456</v>
      </c>
      <c r="H31" s="7" t="s">
        <v>79</v>
      </c>
      <c r="I31" s="7">
        <f>VLOOKUP(C31,Table2[#Data],3,0)</f>
        <v>110</v>
      </c>
      <c r="J31" s="7">
        <f>VLOOKUP(C31,Table2[#Data],4,0)</f>
        <v>4487</v>
      </c>
      <c r="K31" s="7" t="str">
        <f>VLOOKUP(C31,Table2[#Data],5,0)</f>
        <v>4.7</v>
      </c>
      <c r="L31" s="7" t="s">
        <v>2311</v>
      </c>
      <c r="M31" s="7" t="s">
        <v>245</v>
      </c>
      <c r="N31" s="7" t="s">
        <v>5478</v>
      </c>
      <c r="P31" s="193" t="str">
        <f t="shared" ref="P31" si="6">CONCATENATE("Qso ",B31," LP ",D31," ETA ",E31," ", F31)</f>
        <v>Qso SPB. PATRIA ANDROMEDA 1/YBAA2 LP CILACAP ETA TARAHAN 1706/0800LT</v>
      </c>
    </row>
    <row r="32" spans="1:16" s="193" customFormat="1" ht="15.75" x14ac:dyDescent="0.25">
      <c r="A32" s="227" t="s">
        <v>5556</v>
      </c>
      <c r="B32" s="18" t="str">
        <f>VLOOKUP(C32,Table2[#Data],2,0)</f>
        <v>MT.GRIYA AMBON/PNFZ</v>
      </c>
      <c r="C32" s="7">
        <v>525114001</v>
      </c>
      <c r="D32" s="7" t="s">
        <v>3873</v>
      </c>
      <c r="E32" s="7" t="s">
        <v>5557</v>
      </c>
      <c r="F32" s="7" t="s">
        <v>5558</v>
      </c>
      <c r="G32" s="7" t="s">
        <v>5559</v>
      </c>
      <c r="H32" s="7" t="s">
        <v>3874</v>
      </c>
      <c r="I32" s="7">
        <f>VLOOKUP(C32,Table2[#Data],3,0)</f>
        <v>157</v>
      </c>
      <c r="J32" s="7">
        <f>VLOOKUP(C32,Table2[#Data],4,0)</f>
        <v>14580</v>
      </c>
      <c r="K32" s="7" t="str">
        <f>VLOOKUP(C32,Table2[#Data],5,0)</f>
        <v>5.2</v>
      </c>
      <c r="L32" s="7" t="s">
        <v>2311</v>
      </c>
      <c r="M32" s="7" t="s">
        <v>96</v>
      </c>
      <c r="N32" s="7" t="s">
        <v>5560</v>
      </c>
      <c r="P32" s="193" t="str">
        <f t="shared" ref="P32:P34" si="7">CONCATENATE("Qso ",B32," LP ",D32," ETA ",E32," ", F32)</f>
        <v>Qso MT.GRIYA AMBON/PNFZ LP PANJANG ETA PLAJU 1806/2212LT</v>
      </c>
    </row>
    <row r="33" spans="1:16" s="193" customFormat="1" ht="15.75" x14ac:dyDescent="0.25">
      <c r="A33" s="227" t="s">
        <v>5490</v>
      </c>
      <c r="B33" s="18" t="str">
        <f>VLOOKUP(C33,Table2[#Data],2,0)</f>
        <v>MT.GAS AMBALAT/PLKU</v>
      </c>
      <c r="C33" s="7">
        <v>525008094</v>
      </c>
      <c r="D33" s="7" t="s">
        <v>3873</v>
      </c>
      <c r="E33" s="7" t="s">
        <v>5562</v>
      </c>
      <c r="F33" s="7" t="s">
        <v>5563</v>
      </c>
      <c r="G33" s="7" t="s">
        <v>5564</v>
      </c>
      <c r="H33" s="7" t="s">
        <v>3874</v>
      </c>
      <c r="I33" s="7">
        <f>VLOOKUP(C33,Table2[#Data],3,0)</f>
        <v>107</v>
      </c>
      <c r="J33" s="7">
        <f>VLOOKUP(C33,Table2[#Data],4,0)</f>
        <v>5036</v>
      </c>
      <c r="K33" s="7">
        <f>VLOOKUP(C33,Table2[#Data],5,0)</f>
        <v>4.3</v>
      </c>
      <c r="L33" s="245" t="s">
        <v>2311</v>
      </c>
      <c r="M33" s="7" t="s">
        <v>96</v>
      </c>
      <c r="N33" s="7" t="s">
        <v>5565</v>
      </c>
      <c r="P33" s="193" t="str">
        <f t="shared" si="7"/>
        <v>Qso MT.GAS AMBALAT/PLKU LP PANJANG ETA TG SEKONG 1706/1400LT</v>
      </c>
    </row>
    <row r="34" spans="1:16" s="193" customFormat="1" ht="15" customHeight="1" x14ac:dyDescent="0.25">
      <c r="A34" s="227" t="s">
        <v>5566</v>
      </c>
      <c r="B34" s="18" t="str">
        <f>VLOOKUP(C34,Table2[#Data],2,0)</f>
        <v>MV.TRUONG MINH DRAGON/3WOB9</v>
      </c>
      <c r="C34" s="7">
        <v>574012854</v>
      </c>
      <c r="D34" s="7" t="s">
        <v>3873</v>
      </c>
      <c r="E34" s="7" t="s">
        <v>1134</v>
      </c>
      <c r="F34" s="7" t="s">
        <v>5567</v>
      </c>
      <c r="G34" s="7" t="s">
        <v>5568</v>
      </c>
      <c r="H34" s="7" t="s">
        <v>3874</v>
      </c>
      <c r="I34" s="7">
        <f>VLOOKUP(C34,Table2[#Data],3,0)</f>
        <v>136</v>
      </c>
      <c r="J34" s="7">
        <f>VLOOKUP(C34,Table2[#Data],4,0)</f>
        <v>8223</v>
      </c>
      <c r="K34" s="7" t="str">
        <f>VLOOKUP(C34,Table2[#Data],5,0)</f>
        <v>8.7</v>
      </c>
      <c r="L34" s="245" t="s">
        <v>2311</v>
      </c>
      <c r="M34" s="7" t="s">
        <v>79</v>
      </c>
      <c r="N34" s="7" t="s">
        <v>5569</v>
      </c>
      <c r="P34" s="193" t="str">
        <f t="shared" si="7"/>
        <v>Qso MV.TRUONG MINH DRAGON/3WOB9 LP PANJANG ETA SINGAPORE 2006/1200LT</v>
      </c>
    </row>
    <row r="35" spans="1:16" s="151" customFormat="1" ht="15" customHeight="1" x14ac:dyDescent="0.25">
      <c r="A35" s="152"/>
      <c r="B35" s="159"/>
      <c r="C35" s="195"/>
      <c r="D35" s="195"/>
      <c r="E35" s="195"/>
      <c r="F35" s="195"/>
      <c r="G35" s="195"/>
      <c r="H35" s="196"/>
      <c r="I35" s="197"/>
      <c r="J35" s="198"/>
      <c r="K35" s="194"/>
      <c r="L35" s="154"/>
      <c r="M35" s="154"/>
      <c r="N35" s="152"/>
    </row>
    <row r="36" spans="1:16" s="151" customFormat="1" ht="15.75" x14ac:dyDescent="0.25">
      <c r="A36" s="152"/>
      <c r="B36" s="152"/>
      <c r="C36" s="195"/>
      <c r="D36" s="195"/>
      <c r="E36" s="195"/>
      <c r="F36" s="195"/>
      <c r="G36" s="195"/>
      <c r="H36" s="154"/>
      <c r="I36" s="154"/>
      <c r="J36" s="199"/>
      <c r="K36" s="283" t="s">
        <v>5494</v>
      </c>
      <c r="L36" s="283"/>
      <c r="M36" s="283"/>
      <c r="N36" s="152"/>
    </row>
    <row r="37" spans="1:16" s="151" customFormat="1" ht="15.75" x14ac:dyDescent="0.25">
      <c r="A37" s="152"/>
      <c r="B37" s="152"/>
      <c r="C37" s="195"/>
      <c r="D37" s="195"/>
      <c r="E37" s="195"/>
      <c r="F37" s="195"/>
      <c r="G37" s="195"/>
      <c r="H37" s="154"/>
      <c r="I37" s="154"/>
      <c r="J37" s="199"/>
      <c r="K37" s="278" t="s">
        <v>2869</v>
      </c>
      <c r="L37" s="278"/>
      <c r="M37" s="278"/>
      <c r="N37" s="152"/>
    </row>
    <row r="38" spans="1:16" s="151" customFormat="1" ht="15.75" x14ac:dyDescent="0.25">
      <c r="A38" s="152"/>
      <c r="B38" s="152"/>
      <c r="C38" s="200"/>
      <c r="D38" s="195"/>
      <c r="E38" s="195"/>
      <c r="F38" s="195"/>
      <c r="G38" s="154"/>
      <c r="H38" s="154"/>
      <c r="I38" s="152"/>
      <c r="J38" s="201"/>
      <c r="K38" s="152"/>
      <c r="L38" s="152"/>
      <c r="M38" s="154"/>
      <c r="N38" s="152"/>
    </row>
    <row r="39" spans="1:16" s="151" customFormat="1" ht="15.75" x14ac:dyDescent="0.25">
      <c r="A39" s="152"/>
      <c r="B39" s="152"/>
      <c r="C39" s="195"/>
      <c r="D39" s="195"/>
      <c r="E39" s="195"/>
      <c r="F39" s="195"/>
      <c r="G39" s="165"/>
      <c r="H39" s="154"/>
      <c r="I39" s="152"/>
      <c r="J39" s="201"/>
      <c r="K39" s="152"/>
      <c r="L39" s="152"/>
      <c r="M39" s="154"/>
      <c r="N39" s="152"/>
    </row>
    <row r="40" spans="1:16" s="151" customFormat="1" ht="15.75" x14ac:dyDescent="0.25">
      <c r="A40" s="152"/>
      <c r="C40" s="195"/>
      <c r="D40" s="195"/>
      <c r="E40" s="195"/>
      <c r="F40" s="195"/>
      <c r="G40" s="195"/>
      <c r="H40" s="279"/>
      <c r="I40" s="279"/>
      <c r="J40" s="279"/>
      <c r="K40" s="152"/>
      <c r="M40" s="154"/>
      <c r="N40" s="152"/>
    </row>
    <row r="41" spans="1:16" s="151" customFormat="1" ht="15.75" x14ac:dyDescent="0.25">
      <c r="A41" s="152"/>
      <c r="B41" s="166"/>
      <c r="C41" s="195"/>
      <c r="D41" s="195"/>
      <c r="E41" s="195"/>
      <c r="F41" s="195"/>
      <c r="G41" s="195"/>
      <c r="H41" s="277"/>
      <c r="I41" s="277"/>
      <c r="J41" s="277"/>
      <c r="K41" s="203"/>
      <c r="L41" s="202" t="s">
        <v>5162</v>
      </c>
      <c r="M41" s="203"/>
      <c r="N41" s="152"/>
    </row>
    <row r="42" spans="1:16" s="151" customFormat="1" ht="15.75" x14ac:dyDescent="0.25">
      <c r="A42" s="152"/>
      <c r="B42" s="154"/>
      <c r="C42" s="195"/>
      <c r="D42" s="195"/>
      <c r="E42" s="195"/>
      <c r="F42" s="195"/>
      <c r="G42" s="195"/>
      <c r="H42" s="152"/>
      <c r="I42" s="152"/>
      <c r="J42" s="199"/>
      <c r="K42" s="276" t="s">
        <v>5167</v>
      </c>
      <c r="L42" s="276"/>
      <c r="M42" s="276"/>
      <c r="N42" s="152"/>
    </row>
    <row r="43" spans="1:16" s="151" customFormat="1" ht="15.75" x14ac:dyDescent="0.25">
      <c r="A43" s="152"/>
      <c r="B43" s="154"/>
      <c r="C43" s="195"/>
      <c r="D43" s="195"/>
      <c r="E43" s="195"/>
      <c r="F43" s="195"/>
      <c r="G43" s="195"/>
      <c r="H43" s="152"/>
      <c r="I43" s="152"/>
      <c r="J43" s="199"/>
      <c r="L43" s="152"/>
      <c r="M43" s="152"/>
      <c r="N43" s="152"/>
    </row>
    <row r="44" spans="1:16" x14ac:dyDescent="0.25">
      <c r="C44" s="8"/>
      <c r="D44" s="8"/>
      <c r="E44" s="8" t="s">
        <v>5561</v>
      </c>
      <c r="F44" s="8"/>
      <c r="G44" s="8"/>
    </row>
    <row r="45" spans="1:16" x14ac:dyDescent="0.25">
      <c r="D45" s="4"/>
      <c r="E45" s="4"/>
      <c r="F45" s="2"/>
      <c r="G45" s="4"/>
      <c r="H45" s="3"/>
      <c r="I45" s="3"/>
      <c r="K45" s="3"/>
      <c r="M45" s="3"/>
    </row>
  </sheetData>
  <mergeCells count="22">
    <mergeCell ref="K42:M42"/>
    <mergeCell ref="H41:J41"/>
    <mergeCell ref="K37:M37"/>
    <mergeCell ref="I10:J10"/>
    <mergeCell ref="H40:J40"/>
    <mergeCell ref="L12:L14"/>
    <mergeCell ref="M12:M14"/>
    <mergeCell ref="K36:M36"/>
    <mergeCell ref="I9:K9"/>
    <mergeCell ref="L1:N1"/>
    <mergeCell ref="A4:N4"/>
    <mergeCell ref="A5:N5"/>
    <mergeCell ref="A6:N6"/>
    <mergeCell ref="A3:N3"/>
    <mergeCell ref="I8:J8"/>
    <mergeCell ref="M8:N8"/>
    <mergeCell ref="N12:N14"/>
    <mergeCell ref="A12:A14"/>
    <mergeCell ref="H12:H14"/>
    <mergeCell ref="I12:I14"/>
    <mergeCell ref="J12:J14"/>
    <mergeCell ref="K12:K14"/>
  </mergeCells>
  <phoneticPr fontId="43" type="noConversion"/>
  <printOptions horizontalCentered="1" verticalCentered="1"/>
  <pageMargins left="0.25" right="0.25" top="0.75" bottom="0.75" header="0.3" footer="0.3"/>
  <pageSetup paperSize="5" scale="70" orientation="landscape" r:id="rId1"/>
  <colBreaks count="1" manualBreakCount="1">
    <brk id="14" max="3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69"/>
  <sheetViews>
    <sheetView view="pageBreakPreview" topLeftCell="A2719" zoomScale="85" zoomScaleNormal="70" zoomScaleSheetLayoutView="85" workbookViewId="0">
      <selection activeCell="E2754" sqref="E2754"/>
    </sheetView>
  </sheetViews>
  <sheetFormatPr defaultRowHeight="15" x14ac:dyDescent="0.25"/>
  <cols>
    <col min="1" max="1" width="12.28515625" style="1" customWidth="1"/>
    <col min="2" max="2" width="63" style="28" customWidth="1"/>
    <col min="3" max="3" width="13.7109375" style="2" customWidth="1"/>
    <col min="4" max="4" width="14.140625" style="2" customWidth="1"/>
    <col min="5" max="5" width="12" style="2" customWidth="1"/>
    <col min="6" max="6" width="12.5703125" style="2" customWidth="1"/>
    <col min="7" max="7" width="9.85546875" style="2" customWidth="1"/>
    <col min="8" max="8" width="35.28515625" style="2" customWidth="1"/>
    <col min="9" max="9" width="21.28515625" style="1" customWidth="1"/>
  </cols>
  <sheetData>
    <row r="1" spans="1:10" x14ac:dyDescent="0.25">
      <c r="A1" s="11"/>
      <c r="B1" s="12"/>
      <c r="C1" s="13"/>
      <c r="D1" s="13"/>
      <c r="E1" s="13"/>
      <c r="F1" s="13"/>
      <c r="G1" s="13"/>
      <c r="H1" s="13"/>
      <c r="I1" s="11"/>
    </row>
    <row r="2" spans="1:10" ht="23.25" x14ac:dyDescent="0.25">
      <c r="A2" s="284" t="s">
        <v>49</v>
      </c>
      <c r="B2" s="284"/>
      <c r="C2" s="284"/>
      <c r="D2" s="284"/>
      <c r="E2" s="284"/>
      <c r="F2" s="284"/>
      <c r="G2" s="284"/>
      <c r="H2" s="284"/>
      <c r="I2" s="284"/>
    </row>
    <row r="3" spans="1:10" x14ac:dyDescent="0.25">
      <c r="A3" s="11"/>
      <c r="B3" s="12"/>
      <c r="C3" s="13"/>
      <c r="D3" s="13"/>
      <c r="E3" s="13"/>
      <c r="F3" s="13"/>
      <c r="G3" s="13"/>
      <c r="H3" s="13"/>
      <c r="I3" s="11"/>
    </row>
    <row r="4" spans="1:10" s="205" customFormat="1" ht="15.75" x14ac:dyDescent="0.25">
      <c r="A4" s="32" t="s">
        <v>37</v>
      </c>
      <c r="B4" s="33" t="s">
        <v>50</v>
      </c>
      <c r="C4" s="100" t="s">
        <v>30</v>
      </c>
      <c r="D4" s="100" t="s">
        <v>31</v>
      </c>
      <c r="E4" s="100" t="s">
        <v>32</v>
      </c>
      <c r="F4" s="33" t="s">
        <v>51</v>
      </c>
      <c r="G4" s="33" t="s">
        <v>276</v>
      </c>
      <c r="H4" s="33" t="s">
        <v>52</v>
      </c>
      <c r="I4" s="34" t="s">
        <v>53</v>
      </c>
      <c r="J4" s="225" t="s">
        <v>3642</v>
      </c>
    </row>
    <row r="5" spans="1:10" s="144" customFormat="1" ht="12.75" x14ac:dyDescent="0.25">
      <c r="A5" s="29">
        <v>199952091</v>
      </c>
      <c r="B5" s="14" t="s">
        <v>1106</v>
      </c>
      <c r="C5" s="15" t="s">
        <v>1107</v>
      </c>
      <c r="D5" s="15" t="s">
        <v>1108</v>
      </c>
      <c r="E5" s="15" t="s">
        <v>1109</v>
      </c>
      <c r="F5" s="16" t="s">
        <v>73</v>
      </c>
      <c r="G5" s="16"/>
      <c r="H5" s="16" t="s">
        <v>307</v>
      </c>
      <c r="I5" s="31" t="s">
        <v>39</v>
      </c>
      <c r="J5" s="223"/>
    </row>
    <row r="6" spans="1:10" s="144" customFormat="1" ht="12.75" x14ac:dyDescent="0.25">
      <c r="A6" s="17">
        <v>200000000</v>
      </c>
      <c r="B6" s="68" t="s">
        <v>1727</v>
      </c>
      <c r="C6" s="7" t="s">
        <v>1728</v>
      </c>
      <c r="D6" s="7" t="s">
        <v>1314</v>
      </c>
      <c r="E6" s="7" t="s">
        <v>1729</v>
      </c>
      <c r="F6" s="71"/>
      <c r="G6" s="71"/>
      <c r="H6" s="25" t="s">
        <v>388</v>
      </c>
      <c r="I6" s="74" t="s">
        <v>41</v>
      </c>
      <c r="J6" s="223"/>
    </row>
    <row r="7" spans="1:10" s="144" customFormat="1" ht="12.75" x14ac:dyDescent="0.25">
      <c r="A7" s="17">
        <v>209282000</v>
      </c>
      <c r="B7" s="22" t="s">
        <v>934</v>
      </c>
      <c r="C7" s="10">
        <v>229</v>
      </c>
      <c r="D7" s="10">
        <v>51255</v>
      </c>
      <c r="E7" s="10" t="s">
        <v>935</v>
      </c>
      <c r="F7" s="72" t="s">
        <v>1115</v>
      </c>
      <c r="G7" s="10"/>
      <c r="H7" s="10" t="s">
        <v>402</v>
      </c>
      <c r="I7" s="23" t="s">
        <v>245</v>
      </c>
      <c r="J7" s="223"/>
    </row>
    <row r="8" spans="1:10" s="144" customFormat="1" ht="12.75" x14ac:dyDescent="0.25">
      <c r="A8" s="17">
        <v>209687000</v>
      </c>
      <c r="B8" s="52" t="s">
        <v>607</v>
      </c>
      <c r="C8" s="7">
        <v>229</v>
      </c>
      <c r="D8" s="7">
        <v>44114</v>
      </c>
      <c r="E8" s="7">
        <v>7.3</v>
      </c>
      <c r="F8" s="63" t="s">
        <v>1115</v>
      </c>
      <c r="G8" s="51"/>
      <c r="H8" s="7" t="s">
        <v>445</v>
      </c>
      <c r="I8" s="53" t="s">
        <v>47</v>
      </c>
      <c r="J8" s="223"/>
    </row>
    <row r="9" spans="1:10" s="144" customFormat="1" ht="12.75" x14ac:dyDescent="0.25">
      <c r="A9" s="17">
        <v>209721000</v>
      </c>
      <c r="B9" s="18" t="s">
        <v>372</v>
      </c>
      <c r="C9" s="7">
        <v>229</v>
      </c>
      <c r="D9" s="7">
        <v>44289</v>
      </c>
      <c r="E9" s="7" t="s">
        <v>89</v>
      </c>
      <c r="F9" s="63" t="s">
        <v>1115</v>
      </c>
      <c r="G9" s="7"/>
      <c r="H9" s="7" t="s">
        <v>76</v>
      </c>
      <c r="I9" s="19" t="s">
        <v>71</v>
      </c>
      <c r="J9" s="223"/>
    </row>
    <row r="10" spans="1:10" s="144" customFormat="1" ht="12.75" x14ac:dyDescent="0.2">
      <c r="A10" s="17">
        <v>210144000</v>
      </c>
      <c r="B10" s="18" t="s">
        <v>960</v>
      </c>
      <c r="C10" s="7">
        <v>186</v>
      </c>
      <c r="D10" s="70">
        <v>30344</v>
      </c>
      <c r="E10" s="7" t="s">
        <v>204</v>
      </c>
      <c r="F10" s="63" t="s">
        <v>1115</v>
      </c>
      <c r="G10" s="7"/>
      <c r="H10" s="7" t="s">
        <v>306</v>
      </c>
      <c r="I10" s="19" t="s">
        <v>160</v>
      </c>
      <c r="J10" s="223"/>
    </row>
    <row r="11" spans="1:10" s="144" customFormat="1" ht="12.75" x14ac:dyDescent="0.25">
      <c r="A11" s="17">
        <v>210804000</v>
      </c>
      <c r="B11" s="52" t="s">
        <v>690</v>
      </c>
      <c r="C11" s="7">
        <v>170</v>
      </c>
      <c r="D11" s="2">
        <v>18826</v>
      </c>
      <c r="E11" s="7">
        <v>7.9</v>
      </c>
      <c r="F11" s="63" t="s">
        <v>1115</v>
      </c>
      <c r="G11" s="51"/>
      <c r="H11" s="7" t="s">
        <v>312</v>
      </c>
      <c r="I11" s="53" t="s">
        <v>268</v>
      </c>
      <c r="J11" s="223"/>
    </row>
    <row r="12" spans="1:10" s="144" customFormat="1" ht="12.75" x14ac:dyDescent="0.25">
      <c r="A12" s="17">
        <v>215276000</v>
      </c>
      <c r="B12" s="18" t="s">
        <v>1157</v>
      </c>
      <c r="C12" s="7">
        <v>145</v>
      </c>
      <c r="D12" s="7">
        <v>11311</v>
      </c>
      <c r="E12" s="7">
        <v>5</v>
      </c>
      <c r="F12" s="7"/>
      <c r="G12" s="7"/>
      <c r="H12" s="7" t="s">
        <v>1695</v>
      </c>
      <c r="I12" s="19" t="s">
        <v>39</v>
      </c>
      <c r="J12" s="223"/>
    </row>
    <row r="13" spans="1:10" s="144" customFormat="1" ht="12.75" x14ac:dyDescent="0.25">
      <c r="A13" s="17">
        <v>219180000</v>
      </c>
      <c r="B13" s="52" t="s">
        <v>793</v>
      </c>
      <c r="C13" s="20">
        <v>183</v>
      </c>
      <c r="D13" s="94">
        <v>29445</v>
      </c>
      <c r="E13" s="20">
        <v>10</v>
      </c>
      <c r="F13" s="7" t="s">
        <v>1116</v>
      </c>
      <c r="G13" s="51"/>
      <c r="H13" s="7" t="s">
        <v>445</v>
      </c>
      <c r="I13" s="54" t="s">
        <v>47</v>
      </c>
      <c r="J13" s="223"/>
    </row>
    <row r="14" spans="1:10" s="144" customFormat="1" ht="12.75" x14ac:dyDescent="0.25">
      <c r="A14" s="17">
        <v>220008000</v>
      </c>
      <c r="B14" s="52" t="s">
        <v>856</v>
      </c>
      <c r="C14" s="20">
        <v>216</v>
      </c>
      <c r="D14" s="20">
        <v>30166</v>
      </c>
      <c r="E14" s="20" t="s">
        <v>189</v>
      </c>
      <c r="F14" s="7" t="s">
        <v>1116</v>
      </c>
      <c r="G14" s="51"/>
      <c r="H14" s="7" t="s">
        <v>312</v>
      </c>
      <c r="I14" s="54" t="s">
        <v>268</v>
      </c>
      <c r="J14" s="223"/>
    </row>
    <row r="15" spans="1:10" s="144" customFormat="1" ht="12.75" x14ac:dyDescent="0.25">
      <c r="A15" s="17">
        <v>229159000</v>
      </c>
      <c r="B15" s="18" t="s">
        <v>970</v>
      </c>
      <c r="C15" s="7">
        <v>200</v>
      </c>
      <c r="D15" s="7">
        <v>35812</v>
      </c>
      <c r="E15" s="7" t="s">
        <v>971</v>
      </c>
      <c r="F15" s="7" t="s">
        <v>1117</v>
      </c>
      <c r="G15" s="7"/>
      <c r="H15" s="7" t="s">
        <v>1141</v>
      </c>
      <c r="I15" s="19" t="s">
        <v>43</v>
      </c>
      <c r="J15" s="223"/>
    </row>
    <row r="16" spans="1:10" s="144" customFormat="1" ht="12.75" x14ac:dyDescent="0.25">
      <c r="A16" s="57">
        <v>229266000</v>
      </c>
      <c r="B16" s="58" t="s">
        <v>838</v>
      </c>
      <c r="C16" s="95">
        <v>180</v>
      </c>
      <c r="D16" s="95">
        <v>20928</v>
      </c>
      <c r="E16" s="93" t="s">
        <v>839</v>
      </c>
      <c r="F16" s="7" t="s">
        <v>1117</v>
      </c>
      <c r="G16" s="51"/>
      <c r="H16" s="51"/>
      <c r="I16" s="59" t="s">
        <v>840</v>
      </c>
      <c r="J16" s="223"/>
    </row>
    <row r="17" spans="1:10" s="144" customFormat="1" ht="12.75" x14ac:dyDescent="0.25">
      <c r="A17" s="17">
        <v>229382000</v>
      </c>
      <c r="B17" s="18" t="s">
        <v>325</v>
      </c>
      <c r="C17" s="7">
        <v>292</v>
      </c>
      <c r="D17" s="7">
        <v>93190</v>
      </c>
      <c r="E17" s="7">
        <v>9.1</v>
      </c>
      <c r="F17" s="7" t="s">
        <v>1117</v>
      </c>
      <c r="G17" s="7"/>
      <c r="H17" s="7" t="s">
        <v>359</v>
      </c>
      <c r="I17" s="19" t="s">
        <v>273</v>
      </c>
      <c r="J17" s="223"/>
    </row>
    <row r="18" spans="1:10" s="144" customFormat="1" ht="12.75" x14ac:dyDescent="0.25">
      <c r="A18" s="21">
        <v>229759000</v>
      </c>
      <c r="B18" s="37" t="s">
        <v>487</v>
      </c>
      <c r="C18" s="10">
        <v>179.9</v>
      </c>
      <c r="D18" s="10">
        <v>24725</v>
      </c>
      <c r="E18" s="10">
        <v>6.4</v>
      </c>
      <c r="F18" s="7" t="s">
        <v>1117</v>
      </c>
      <c r="G18" s="38"/>
      <c r="H18" s="10" t="s">
        <v>367</v>
      </c>
      <c r="I18" s="39" t="s">
        <v>45</v>
      </c>
      <c r="J18" s="223"/>
    </row>
    <row r="19" spans="1:10" s="144" customFormat="1" ht="12.75" x14ac:dyDescent="0.25">
      <c r="A19" s="21">
        <v>241652000</v>
      </c>
      <c r="B19" s="37" t="s">
        <v>532</v>
      </c>
      <c r="C19" s="10">
        <v>229</v>
      </c>
      <c r="D19" s="10">
        <v>43432</v>
      </c>
      <c r="E19" s="10">
        <v>7.36</v>
      </c>
      <c r="F19" s="10" t="s">
        <v>1118</v>
      </c>
      <c r="G19" s="38"/>
      <c r="H19" s="10" t="s">
        <v>412</v>
      </c>
      <c r="I19" s="23" t="s">
        <v>516</v>
      </c>
      <c r="J19" s="223"/>
    </row>
    <row r="20" spans="1:10" s="144" customFormat="1" ht="12.75" x14ac:dyDescent="0.25">
      <c r="A20" s="21">
        <v>253639000</v>
      </c>
      <c r="B20" s="22" t="s">
        <v>280</v>
      </c>
      <c r="C20" s="25">
        <v>133</v>
      </c>
      <c r="D20" s="25">
        <v>7727</v>
      </c>
      <c r="E20" s="25" t="s">
        <v>794</v>
      </c>
      <c r="F20" s="10" t="s">
        <v>1119</v>
      </c>
      <c r="G20" s="10"/>
      <c r="H20" s="10" t="s">
        <v>357</v>
      </c>
      <c r="I20" s="23" t="s">
        <v>40</v>
      </c>
      <c r="J20" s="223"/>
    </row>
    <row r="21" spans="1:10" s="144" customFormat="1" ht="12.75" x14ac:dyDescent="0.25">
      <c r="A21" s="21">
        <v>253651000</v>
      </c>
      <c r="B21" s="22" t="s">
        <v>534</v>
      </c>
      <c r="C21" s="10">
        <v>116</v>
      </c>
      <c r="D21" s="10">
        <v>6171</v>
      </c>
      <c r="E21" s="10">
        <v>5.4</v>
      </c>
      <c r="F21" s="10" t="s">
        <v>1119</v>
      </c>
      <c r="G21" s="10"/>
      <c r="H21" s="10" t="s">
        <v>357</v>
      </c>
      <c r="I21" s="23" t="s">
        <v>40</v>
      </c>
      <c r="J21" s="223"/>
    </row>
    <row r="22" spans="1:10" s="144" customFormat="1" ht="12.75" x14ac:dyDescent="0.25">
      <c r="A22" s="21">
        <v>255805581</v>
      </c>
      <c r="B22" s="22" t="s">
        <v>279</v>
      </c>
      <c r="C22" s="10">
        <v>207</v>
      </c>
      <c r="D22" s="10">
        <v>75519</v>
      </c>
      <c r="E22" s="10">
        <v>10.1</v>
      </c>
      <c r="F22" s="10" t="s">
        <v>1120</v>
      </c>
      <c r="G22" s="10"/>
      <c r="H22" s="23" t="s">
        <v>1142</v>
      </c>
      <c r="I22" s="23" t="s">
        <v>356</v>
      </c>
      <c r="J22" s="223"/>
    </row>
    <row r="23" spans="1:10" s="144" customFormat="1" ht="12.75" x14ac:dyDescent="0.25">
      <c r="A23" s="21">
        <v>255806127</v>
      </c>
      <c r="B23" s="22" t="s">
        <v>269</v>
      </c>
      <c r="C23" s="10">
        <v>175</v>
      </c>
      <c r="D23" s="10">
        <v>18123</v>
      </c>
      <c r="E23" s="10">
        <v>9</v>
      </c>
      <c r="F23" s="10" t="s">
        <v>1120</v>
      </c>
      <c r="G23" s="10" t="s">
        <v>286</v>
      </c>
      <c r="H23" s="7" t="s">
        <v>312</v>
      </c>
      <c r="I23" s="23" t="s">
        <v>268</v>
      </c>
      <c r="J23" s="223"/>
    </row>
    <row r="24" spans="1:10" s="144" customFormat="1" ht="12.75" x14ac:dyDescent="0.25">
      <c r="A24" s="21">
        <v>257516000</v>
      </c>
      <c r="B24" s="46" t="s">
        <v>713</v>
      </c>
      <c r="C24" s="10">
        <v>213</v>
      </c>
      <c r="D24" s="10">
        <v>39258</v>
      </c>
      <c r="E24" s="10">
        <v>7.8</v>
      </c>
      <c r="F24" s="10" t="s">
        <v>1121</v>
      </c>
      <c r="G24" s="47"/>
      <c r="H24" s="10" t="s">
        <v>1148</v>
      </c>
      <c r="I24" s="48" t="s">
        <v>714</v>
      </c>
      <c r="J24" s="223"/>
    </row>
    <row r="25" spans="1:10" s="144" customFormat="1" ht="12.75" x14ac:dyDescent="0.25">
      <c r="A25" s="24">
        <v>257535000</v>
      </c>
      <c r="B25" s="22" t="s">
        <v>55</v>
      </c>
      <c r="C25" s="25">
        <v>213</v>
      </c>
      <c r="D25" s="10">
        <v>39258</v>
      </c>
      <c r="E25" s="25" t="s">
        <v>56</v>
      </c>
      <c r="F25" s="10" t="s">
        <v>1121</v>
      </c>
      <c r="G25" s="10"/>
      <c r="H25" s="10" t="s">
        <v>1148</v>
      </c>
      <c r="I25" s="26" t="s">
        <v>714</v>
      </c>
      <c r="J25" s="223"/>
    </row>
    <row r="26" spans="1:10" s="144" customFormat="1" ht="12.75" x14ac:dyDescent="0.25">
      <c r="A26" s="21">
        <v>271042805</v>
      </c>
      <c r="B26" s="22" t="s">
        <v>44</v>
      </c>
      <c r="C26" s="25">
        <v>229</v>
      </c>
      <c r="D26" s="25">
        <v>44367</v>
      </c>
      <c r="E26" s="25">
        <v>8.6</v>
      </c>
      <c r="F26" s="25" t="s">
        <v>1122</v>
      </c>
      <c r="G26" s="25"/>
      <c r="H26" s="25" t="s">
        <v>367</v>
      </c>
      <c r="I26" s="26" t="s">
        <v>45</v>
      </c>
      <c r="J26" s="223"/>
    </row>
    <row r="27" spans="1:10" s="144" customFormat="1" ht="12.75" x14ac:dyDescent="0.25">
      <c r="A27" s="21">
        <v>311000157</v>
      </c>
      <c r="B27" s="37" t="s">
        <v>579</v>
      </c>
      <c r="C27" s="10">
        <v>224.86</v>
      </c>
      <c r="D27" s="10">
        <v>42647</v>
      </c>
      <c r="E27" s="10">
        <v>7.8</v>
      </c>
      <c r="F27" s="10" t="s">
        <v>1123</v>
      </c>
      <c r="G27" s="38"/>
      <c r="H27" s="38"/>
      <c r="I27" s="45" t="s">
        <v>79</v>
      </c>
      <c r="J27" s="223"/>
    </row>
    <row r="28" spans="1:10" s="144" customFormat="1" ht="12.75" x14ac:dyDescent="0.25">
      <c r="A28" s="21">
        <v>311001200</v>
      </c>
      <c r="B28" s="22" t="s">
        <v>1150</v>
      </c>
      <c r="C28" s="10">
        <v>182</v>
      </c>
      <c r="D28" s="10">
        <v>26913</v>
      </c>
      <c r="E28" s="10" t="s">
        <v>917</v>
      </c>
      <c r="F28" s="10"/>
      <c r="G28" s="10"/>
      <c r="H28" s="7" t="s">
        <v>306</v>
      </c>
      <c r="I28" s="23" t="s">
        <v>160</v>
      </c>
      <c r="J28" s="223"/>
    </row>
    <row r="29" spans="1:10" s="144" customFormat="1" ht="12.75" x14ac:dyDescent="0.25">
      <c r="A29" s="21">
        <v>311052100</v>
      </c>
      <c r="B29" s="22" t="s">
        <v>916</v>
      </c>
      <c r="C29" s="10">
        <v>229</v>
      </c>
      <c r="D29" s="10">
        <v>43830</v>
      </c>
      <c r="E29" s="10" t="s">
        <v>917</v>
      </c>
      <c r="F29" s="10" t="s">
        <v>1123</v>
      </c>
      <c r="G29" s="10"/>
      <c r="H29" s="10" t="s">
        <v>2349</v>
      </c>
      <c r="I29" s="23" t="s">
        <v>516</v>
      </c>
      <c r="J29" s="223"/>
    </row>
    <row r="30" spans="1:10" s="144" customFormat="1" ht="12.75" x14ac:dyDescent="0.25">
      <c r="A30" s="21">
        <v>311055100</v>
      </c>
      <c r="B30" s="46" t="s">
        <v>720</v>
      </c>
      <c r="C30" s="10">
        <v>229</v>
      </c>
      <c r="D30" s="10">
        <v>43830</v>
      </c>
      <c r="E30" s="10">
        <v>8.3000000000000007</v>
      </c>
      <c r="F30" s="10" t="s">
        <v>1123</v>
      </c>
      <c r="G30" s="47"/>
      <c r="H30" s="10" t="s">
        <v>445</v>
      </c>
      <c r="I30" s="48" t="s">
        <v>47</v>
      </c>
      <c r="J30" s="223"/>
    </row>
    <row r="31" spans="1:10" s="144" customFormat="1" ht="12.75" x14ac:dyDescent="0.25">
      <c r="A31" s="21">
        <v>311055800</v>
      </c>
      <c r="B31" s="22" t="s">
        <v>563</v>
      </c>
      <c r="C31" s="10">
        <v>177</v>
      </c>
      <c r="D31" s="10">
        <v>19887</v>
      </c>
      <c r="E31" s="10">
        <v>3.5</v>
      </c>
      <c r="F31" s="10" t="s">
        <v>1123</v>
      </c>
      <c r="G31" s="38"/>
      <c r="H31" s="7" t="s">
        <v>368</v>
      </c>
      <c r="I31" s="23" t="s">
        <v>150</v>
      </c>
      <c r="J31" s="223"/>
    </row>
    <row r="32" spans="1:10" s="144" customFormat="1" ht="12.75" x14ac:dyDescent="0.25">
      <c r="A32" s="21">
        <v>351343000</v>
      </c>
      <c r="B32" s="22" t="s">
        <v>281</v>
      </c>
      <c r="C32" s="10">
        <v>89</v>
      </c>
      <c r="D32" s="10">
        <v>2282</v>
      </c>
      <c r="E32" s="10" t="s">
        <v>59</v>
      </c>
      <c r="F32" s="10" t="s">
        <v>1124</v>
      </c>
      <c r="G32" s="10"/>
      <c r="H32" s="10"/>
      <c r="I32" s="23" t="s">
        <v>60</v>
      </c>
      <c r="J32" s="223"/>
    </row>
    <row r="33" spans="1:10" s="144" customFormat="1" ht="12.75" x14ac:dyDescent="0.25">
      <c r="A33" s="21">
        <v>351809000</v>
      </c>
      <c r="B33" s="46" t="s">
        <v>652</v>
      </c>
      <c r="C33" s="10">
        <v>229</v>
      </c>
      <c r="D33" s="10">
        <v>43037</v>
      </c>
      <c r="E33" s="10">
        <v>8.6</v>
      </c>
      <c r="F33" s="10" t="s">
        <v>1124</v>
      </c>
      <c r="G33" s="47"/>
      <c r="H33" s="25" t="s">
        <v>1143</v>
      </c>
      <c r="I33" s="48" t="s">
        <v>71</v>
      </c>
      <c r="J33" s="223"/>
    </row>
    <row r="34" spans="1:10" s="144" customFormat="1" ht="12.75" x14ac:dyDescent="0.25">
      <c r="A34" s="21">
        <v>352001238</v>
      </c>
      <c r="B34" s="46" t="s">
        <v>800</v>
      </c>
      <c r="C34" s="25" t="s">
        <v>801</v>
      </c>
      <c r="D34" s="96">
        <v>5598</v>
      </c>
      <c r="E34" s="25">
        <v>6.3</v>
      </c>
      <c r="F34" s="10" t="s">
        <v>1124</v>
      </c>
      <c r="G34" s="47"/>
      <c r="H34" s="25" t="s">
        <v>1143</v>
      </c>
      <c r="I34" s="50" t="s">
        <v>71</v>
      </c>
      <c r="J34" s="223"/>
    </row>
    <row r="35" spans="1:10" s="144" customFormat="1" ht="12.75" x14ac:dyDescent="0.25">
      <c r="A35" s="21">
        <v>352001280</v>
      </c>
      <c r="B35" s="22" t="s">
        <v>1153</v>
      </c>
      <c r="C35" s="10">
        <v>128</v>
      </c>
      <c r="D35" s="10">
        <v>8539</v>
      </c>
      <c r="E35" s="10">
        <v>5</v>
      </c>
      <c r="F35" s="10"/>
      <c r="G35" s="10"/>
      <c r="H35" s="7" t="s">
        <v>368</v>
      </c>
      <c r="I35" s="23" t="s">
        <v>150</v>
      </c>
      <c r="J35" s="223"/>
    </row>
    <row r="36" spans="1:10" s="144" customFormat="1" ht="12.75" x14ac:dyDescent="0.25">
      <c r="A36" s="21">
        <v>352001781</v>
      </c>
      <c r="B36" s="46" t="s">
        <v>833</v>
      </c>
      <c r="C36" s="25">
        <v>180</v>
      </c>
      <c r="D36" s="25">
        <v>18561</v>
      </c>
      <c r="E36" s="25" t="s">
        <v>834</v>
      </c>
      <c r="F36" s="10" t="s">
        <v>1124</v>
      </c>
      <c r="G36" s="47"/>
      <c r="H36" s="10" t="s">
        <v>445</v>
      </c>
      <c r="I36" s="50" t="s">
        <v>47</v>
      </c>
      <c r="J36" s="223"/>
    </row>
    <row r="37" spans="1:10" s="144" customFormat="1" ht="12.75" x14ac:dyDescent="0.25">
      <c r="A37" s="21">
        <v>352002135</v>
      </c>
      <c r="B37" s="22" t="s">
        <v>1180</v>
      </c>
      <c r="C37" s="10">
        <v>199.9</v>
      </c>
      <c r="D37" s="10">
        <v>36298</v>
      </c>
      <c r="E37" s="10">
        <v>12.29</v>
      </c>
      <c r="F37" s="10"/>
      <c r="G37" s="10"/>
      <c r="H37" s="10" t="s">
        <v>1149</v>
      </c>
      <c r="I37" s="23" t="s">
        <v>262</v>
      </c>
      <c r="J37" s="223"/>
    </row>
    <row r="38" spans="1:10" s="144" customFormat="1" ht="12.75" x14ac:dyDescent="0.2">
      <c r="A38" s="61">
        <v>352002206</v>
      </c>
      <c r="B38" s="22" t="s">
        <v>1161</v>
      </c>
      <c r="C38" s="10">
        <v>229</v>
      </c>
      <c r="D38" s="10">
        <v>44543</v>
      </c>
      <c r="E38" s="10">
        <v>7.4</v>
      </c>
      <c r="F38" s="10"/>
      <c r="G38" s="10"/>
      <c r="H38" s="10"/>
      <c r="I38" s="23" t="s">
        <v>273</v>
      </c>
      <c r="J38" s="223"/>
    </row>
    <row r="39" spans="1:10" s="144" customFormat="1" ht="12.75" x14ac:dyDescent="0.25">
      <c r="A39" s="21">
        <v>352275000</v>
      </c>
      <c r="B39" s="22" t="s">
        <v>282</v>
      </c>
      <c r="C39" s="10">
        <v>107</v>
      </c>
      <c r="D39" s="10">
        <v>4376</v>
      </c>
      <c r="E39" s="10">
        <v>5.0999999999999996</v>
      </c>
      <c r="F39" s="10" t="s">
        <v>1124</v>
      </c>
      <c r="G39" s="10"/>
      <c r="H39" s="10"/>
      <c r="I39" s="23" t="s">
        <v>61</v>
      </c>
      <c r="J39" s="223"/>
    </row>
    <row r="40" spans="1:10" s="144" customFormat="1" ht="12.75" x14ac:dyDescent="0.25">
      <c r="A40" s="24">
        <v>352633000</v>
      </c>
      <c r="B40" s="22" t="s">
        <v>62</v>
      </c>
      <c r="C40" s="25">
        <v>190</v>
      </c>
      <c r="D40" s="27">
        <v>31767</v>
      </c>
      <c r="E40" s="25">
        <v>121</v>
      </c>
      <c r="F40" s="10" t="s">
        <v>1124</v>
      </c>
      <c r="G40" s="10"/>
      <c r="H40" s="10" t="s">
        <v>1149</v>
      </c>
      <c r="I40" s="23" t="s">
        <v>262</v>
      </c>
      <c r="J40" s="223"/>
    </row>
    <row r="41" spans="1:10" s="144" customFormat="1" ht="12.75" x14ac:dyDescent="0.25">
      <c r="A41" s="21">
        <v>353222000</v>
      </c>
      <c r="B41" s="22" t="s">
        <v>583</v>
      </c>
      <c r="C41" s="10">
        <v>131</v>
      </c>
      <c r="D41" s="10">
        <v>7353</v>
      </c>
      <c r="E41" s="10">
        <v>6.1</v>
      </c>
      <c r="F41" s="10" t="s">
        <v>1124</v>
      </c>
      <c r="G41" s="38"/>
      <c r="H41" s="10" t="s">
        <v>357</v>
      </c>
      <c r="I41" s="26" t="s">
        <v>40</v>
      </c>
      <c r="J41" s="223"/>
    </row>
    <row r="42" spans="1:10" s="144" customFormat="1" ht="12.75" x14ac:dyDescent="0.25">
      <c r="A42" s="21">
        <v>353594000</v>
      </c>
      <c r="B42" s="22" t="s">
        <v>358</v>
      </c>
      <c r="C42" s="10">
        <v>229</v>
      </c>
      <c r="D42" s="10">
        <v>43036</v>
      </c>
      <c r="E42" s="10">
        <v>6.9</v>
      </c>
      <c r="F42" s="10" t="s">
        <v>1124</v>
      </c>
      <c r="G42" s="10"/>
      <c r="H42" s="7" t="s">
        <v>359</v>
      </c>
      <c r="I42" s="23" t="s">
        <v>273</v>
      </c>
      <c r="J42" s="223"/>
    </row>
    <row r="43" spans="1:10" s="144" customFormat="1" ht="12.75" x14ac:dyDescent="0.25">
      <c r="A43" s="21">
        <v>353921000</v>
      </c>
      <c r="B43" s="46" t="s">
        <v>850</v>
      </c>
      <c r="C43" s="25">
        <v>124</v>
      </c>
      <c r="D43" s="25">
        <v>9984</v>
      </c>
      <c r="E43" s="25" t="s">
        <v>851</v>
      </c>
      <c r="F43" s="10" t="s">
        <v>1124</v>
      </c>
      <c r="G43" s="47"/>
      <c r="H43" s="10" t="s">
        <v>1149</v>
      </c>
      <c r="I43" s="26" t="s">
        <v>262</v>
      </c>
      <c r="J43" s="223"/>
    </row>
    <row r="44" spans="1:10" s="144" customFormat="1" ht="12.75" x14ac:dyDescent="0.25">
      <c r="A44" s="21">
        <v>354391000</v>
      </c>
      <c r="B44" s="22" t="s">
        <v>283</v>
      </c>
      <c r="C44" s="10">
        <v>225</v>
      </c>
      <c r="D44" s="10">
        <v>40914</v>
      </c>
      <c r="E44" s="10">
        <v>12.14</v>
      </c>
      <c r="F44" s="10" t="s">
        <v>1124</v>
      </c>
      <c r="G44" s="10"/>
      <c r="H44" s="25" t="s">
        <v>1143</v>
      </c>
      <c r="I44" s="23" t="s">
        <v>71</v>
      </c>
      <c r="J44" s="223"/>
    </row>
    <row r="45" spans="1:10" s="144" customFormat="1" ht="12.75" x14ac:dyDescent="0.25">
      <c r="A45" s="21">
        <v>354594000</v>
      </c>
      <c r="B45" s="22" t="s">
        <v>533</v>
      </c>
      <c r="C45" s="10">
        <v>127</v>
      </c>
      <c r="D45" s="10">
        <v>9813</v>
      </c>
      <c r="E45" s="10" t="s">
        <v>766</v>
      </c>
      <c r="F45" s="10" t="s">
        <v>1124</v>
      </c>
      <c r="G45" s="10"/>
      <c r="H45" s="10"/>
      <c r="I45" s="23" t="s">
        <v>262</v>
      </c>
      <c r="J45" s="223"/>
    </row>
    <row r="46" spans="1:10" s="144" customFormat="1" ht="12.75" x14ac:dyDescent="0.25">
      <c r="A46" s="21">
        <v>354727000</v>
      </c>
      <c r="B46" s="46" t="s">
        <v>620</v>
      </c>
      <c r="C46" s="10">
        <v>172</v>
      </c>
      <c r="D46" s="10">
        <v>19035</v>
      </c>
      <c r="E46" s="10">
        <v>7.2</v>
      </c>
      <c r="F46" s="10" t="s">
        <v>1124</v>
      </c>
      <c r="G46" s="47"/>
      <c r="H46" s="10" t="s">
        <v>312</v>
      </c>
      <c r="I46" s="48" t="s">
        <v>268</v>
      </c>
      <c r="J46" s="223"/>
    </row>
    <row r="47" spans="1:10" s="144" customFormat="1" ht="12.75" x14ac:dyDescent="0.25">
      <c r="A47" s="24">
        <v>354959000</v>
      </c>
      <c r="B47" s="22" t="s">
        <v>63</v>
      </c>
      <c r="C47" s="25">
        <v>54</v>
      </c>
      <c r="D47" s="25">
        <v>738</v>
      </c>
      <c r="E47" s="25" t="s">
        <v>64</v>
      </c>
      <c r="F47" s="10" t="s">
        <v>1124</v>
      </c>
      <c r="G47" s="10"/>
      <c r="H47" s="10"/>
      <c r="I47" s="26" t="s">
        <v>65</v>
      </c>
      <c r="J47" s="223"/>
    </row>
    <row r="48" spans="1:10" s="144" customFormat="1" ht="12.75" x14ac:dyDescent="0.25">
      <c r="A48" s="21">
        <v>354985000</v>
      </c>
      <c r="B48" s="22" t="s">
        <v>284</v>
      </c>
      <c r="C48" s="10">
        <v>131</v>
      </c>
      <c r="D48" s="10">
        <v>11481</v>
      </c>
      <c r="E48" s="10">
        <v>8.8000000000000007</v>
      </c>
      <c r="F48" s="10" t="s">
        <v>1124</v>
      </c>
      <c r="G48" s="10"/>
      <c r="H48" s="7"/>
      <c r="I48" s="23" t="s">
        <v>66</v>
      </c>
      <c r="J48" s="223"/>
    </row>
    <row r="49" spans="1:10" s="144" customFormat="1" ht="12.75" x14ac:dyDescent="0.25">
      <c r="A49" s="21">
        <v>355073000</v>
      </c>
      <c r="B49" s="22" t="s">
        <v>285</v>
      </c>
      <c r="C49" s="10">
        <v>148</v>
      </c>
      <c r="D49" s="10">
        <v>11194</v>
      </c>
      <c r="E49" s="10" t="s">
        <v>67</v>
      </c>
      <c r="F49" s="10" t="s">
        <v>1124</v>
      </c>
      <c r="G49" s="10"/>
      <c r="H49" s="25" t="s">
        <v>76</v>
      </c>
      <c r="I49" s="23" t="s">
        <v>68</v>
      </c>
      <c r="J49" s="223"/>
    </row>
    <row r="50" spans="1:10" s="144" customFormat="1" ht="12.75" x14ac:dyDescent="0.25">
      <c r="A50" s="21">
        <v>355136000</v>
      </c>
      <c r="B50" s="22" t="s">
        <v>925</v>
      </c>
      <c r="C50" s="10">
        <v>229</v>
      </c>
      <c r="D50" s="10">
        <v>50729</v>
      </c>
      <c r="E50" s="10" t="s">
        <v>924</v>
      </c>
      <c r="F50" s="10" t="s">
        <v>1124</v>
      </c>
      <c r="G50" s="10"/>
      <c r="H50" s="10" t="s">
        <v>412</v>
      </c>
      <c r="I50" s="23" t="s">
        <v>516</v>
      </c>
      <c r="J50" s="223"/>
    </row>
    <row r="51" spans="1:10" s="144" customFormat="1" ht="12.75" x14ac:dyDescent="0.25">
      <c r="A51" s="21">
        <v>355741000</v>
      </c>
      <c r="B51" s="22" t="s">
        <v>1197</v>
      </c>
      <c r="C51" s="10">
        <v>119</v>
      </c>
      <c r="D51" s="10">
        <v>9947</v>
      </c>
      <c r="E51" s="10">
        <v>8.6999999999999993</v>
      </c>
      <c r="F51" s="10"/>
      <c r="G51" s="10"/>
      <c r="H51" s="10"/>
      <c r="I51" s="23" t="s">
        <v>1202</v>
      </c>
      <c r="J51" s="223"/>
    </row>
    <row r="52" spans="1:10" s="144" customFormat="1" ht="12.75" x14ac:dyDescent="0.25">
      <c r="A52" s="21">
        <v>356215000</v>
      </c>
      <c r="B52" s="22" t="s">
        <v>900</v>
      </c>
      <c r="C52" s="10" t="s">
        <v>901</v>
      </c>
      <c r="D52" s="10">
        <v>3830</v>
      </c>
      <c r="E52" s="10" t="s">
        <v>902</v>
      </c>
      <c r="F52" s="10" t="s">
        <v>1124</v>
      </c>
      <c r="G52" s="10"/>
      <c r="H52" s="7" t="s">
        <v>359</v>
      </c>
      <c r="I52" s="23" t="s">
        <v>273</v>
      </c>
      <c r="J52" s="223"/>
    </row>
    <row r="53" spans="1:10" s="144" customFormat="1" ht="12.75" x14ac:dyDescent="0.25">
      <c r="A53" s="21">
        <v>356376000</v>
      </c>
      <c r="B53" s="46" t="s">
        <v>741</v>
      </c>
      <c r="C53" s="10">
        <v>133</v>
      </c>
      <c r="D53" s="10">
        <v>10457</v>
      </c>
      <c r="E53" s="10" t="s">
        <v>177</v>
      </c>
      <c r="F53" s="10" t="s">
        <v>1124</v>
      </c>
      <c r="G53" s="47"/>
      <c r="H53" s="10" t="s">
        <v>1149</v>
      </c>
      <c r="I53" s="48" t="s">
        <v>262</v>
      </c>
      <c r="J53" s="223"/>
    </row>
    <row r="54" spans="1:10" s="144" customFormat="1" ht="12.75" x14ac:dyDescent="0.25">
      <c r="A54" s="21">
        <v>356467000</v>
      </c>
      <c r="B54" s="22" t="s">
        <v>1158</v>
      </c>
      <c r="C54" s="10">
        <v>225</v>
      </c>
      <c r="D54" s="10">
        <v>39736</v>
      </c>
      <c r="E54" s="10">
        <v>7.5</v>
      </c>
      <c r="F54" s="10"/>
      <c r="G54" s="10"/>
      <c r="H54" s="7" t="s">
        <v>359</v>
      </c>
      <c r="I54" s="23" t="s">
        <v>273</v>
      </c>
      <c r="J54" s="223"/>
    </row>
    <row r="55" spans="1:10" s="144" customFormat="1" ht="12.75" x14ac:dyDescent="0.25">
      <c r="A55" s="21">
        <v>368882000</v>
      </c>
      <c r="B55" s="22" t="s">
        <v>957</v>
      </c>
      <c r="C55" s="10">
        <v>103</v>
      </c>
      <c r="D55" s="10" t="s">
        <v>920</v>
      </c>
      <c r="E55" s="10" t="s">
        <v>920</v>
      </c>
      <c r="F55" s="10" t="s">
        <v>1125</v>
      </c>
      <c r="G55" s="10"/>
      <c r="H55" s="7"/>
      <c r="I55" s="23" t="s">
        <v>958</v>
      </c>
      <c r="J55" s="223"/>
    </row>
    <row r="56" spans="1:10" s="144" customFormat="1" ht="12.75" x14ac:dyDescent="0.25">
      <c r="A56" s="21">
        <v>369889000</v>
      </c>
      <c r="B56" s="46" t="s">
        <v>802</v>
      </c>
      <c r="C56" s="25">
        <v>59</v>
      </c>
      <c r="D56" s="10" t="s">
        <v>920</v>
      </c>
      <c r="E56" s="10" t="s">
        <v>920</v>
      </c>
      <c r="F56" s="10" t="s">
        <v>1125</v>
      </c>
      <c r="G56" s="47"/>
      <c r="H56" s="47"/>
      <c r="I56" s="50" t="s">
        <v>803</v>
      </c>
      <c r="J56" s="223"/>
    </row>
    <row r="57" spans="1:10" s="144" customFormat="1" ht="12.75" x14ac:dyDescent="0.25">
      <c r="A57" s="21">
        <v>370055000</v>
      </c>
      <c r="B57" s="22" t="s">
        <v>326</v>
      </c>
      <c r="C57" s="10">
        <v>125</v>
      </c>
      <c r="D57" s="10">
        <v>9998</v>
      </c>
      <c r="E57" s="10">
        <v>8.4</v>
      </c>
      <c r="F57" s="10" t="s">
        <v>1124</v>
      </c>
      <c r="G57" s="10"/>
      <c r="H57" s="10"/>
      <c r="I57" s="23" t="s">
        <v>69</v>
      </c>
      <c r="J57" s="223"/>
    </row>
    <row r="58" spans="1:10" s="144" customFormat="1" ht="12.75" x14ac:dyDescent="0.25">
      <c r="A58" s="21">
        <v>370105000</v>
      </c>
      <c r="B58" s="22" t="s">
        <v>1015</v>
      </c>
      <c r="C58" s="10">
        <v>108</v>
      </c>
      <c r="D58" s="10">
        <v>4175</v>
      </c>
      <c r="E58" s="10" t="s">
        <v>1016</v>
      </c>
      <c r="F58" s="10" t="s">
        <v>1124</v>
      </c>
      <c r="G58" s="10"/>
      <c r="H58" s="7" t="s">
        <v>359</v>
      </c>
      <c r="I58" s="23" t="s">
        <v>273</v>
      </c>
      <c r="J58" s="223"/>
    </row>
    <row r="59" spans="1:10" s="144" customFormat="1" ht="12.75" x14ac:dyDescent="0.25">
      <c r="A59" s="21">
        <v>370577000</v>
      </c>
      <c r="B59" s="22" t="s">
        <v>954</v>
      </c>
      <c r="C59" s="10">
        <v>131</v>
      </c>
      <c r="D59" s="10">
        <v>9467</v>
      </c>
      <c r="E59" s="10" t="s">
        <v>955</v>
      </c>
      <c r="F59" s="10" t="s">
        <v>1124</v>
      </c>
      <c r="G59" s="10"/>
      <c r="H59" s="10" t="s">
        <v>1149</v>
      </c>
      <c r="I59" s="23" t="s">
        <v>262</v>
      </c>
      <c r="J59" s="223"/>
    </row>
    <row r="60" spans="1:10" s="144" customFormat="1" ht="12.75" x14ac:dyDescent="0.25">
      <c r="A60" s="21">
        <v>370637000</v>
      </c>
      <c r="B60" s="22" t="s">
        <v>288</v>
      </c>
      <c r="C60" s="10">
        <v>107</v>
      </c>
      <c r="D60" s="10">
        <v>5760</v>
      </c>
      <c r="E60" s="10">
        <v>6.2</v>
      </c>
      <c r="F60" s="10" t="s">
        <v>1124</v>
      </c>
      <c r="G60" s="10"/>
      <c r="H60" s="10"/>
      <c r="I60" s="23" t="s">
        <v>47</v>
      </c>
      <c r="J60" s="223"/>
    </row>
    <row r="61" spans="1:10" s="144" customFormat="1" ht="12.75" x14ac:dyDescent="0.25">
      <c r="A61" s="21">
        <v>370928000</v>
      </c>
      <c r="B61" s="22" t="s">
        <v>987</v>
      </c>
      <c r="C61" s="10">
        <v>208</v>
      </c>
      <c r="D61" s="10">
        <v>25703</v>
      </c>
      <c r="E61" s="10" t="s">
        <v>988</v>
      </c>
      <c r="F61" s="10" t="s">
        <v>1124</v>
      </c>
      <c r="G61" s="10"/>
      <c r="H61" s="10"/>
      <c r="I61" s="23" t="s">
        <v>356</v>
      </c>
      <c r="J61" s="223"/>
    </row>
    <row r="62" spans="1:10" s="144" customFormat="1" ht="12.75" x14ac:dyDescent="0.25">
      <c r="A62" s="21">
        <v>371019000</v>
      </c>
      <c r="B62" s="22" t="s">
        <v>408</v>
      </c>
      <c r="C62" s="10">
        <v>90.9</v>
      </c>
      <c r="D62" s="10">
        <v>3168</v>
      </c>
      <c r="E62" s="10">
        <v>6.1</v>
      </c>
      <c r="F62" s="10" t="s">
        <v>1124</v>
      </c>
      <c r="G62" s="10"/>
      <c r="H62" s="7" t="s">
        <v>359</v>
      </c>
      <c r="I62" s="23" t="s">
        <v>273</v>
      </c>
      <c r="J62" s="223"/>
    </row>
    <row r="63" spans="1:10" s="144" customFormat="1" ht="12.75" x14ac:dyDescent="0.25">
      <c r="A63" s="21">
        <v>371136000</v>
      </c>
      <c r="B63" s="46" t="s">
        <v>837</v>
      </c>
      <c r="C63" s="25">
        <v>128</v>
      </c>
      <c r="D63" s="25">
        <v>9447</v>
      </c>
      <c r="E63" s="25" t="s">
        <v>782</v>
      </c>
      <c r="F63" s="10" t="s">
        <v>1124</v>
      </c>
      <c r="G63" s="47"/>
      <c r="H63" s="47"/>
      <c r="I63" s="50" t="s">
        <v>262</v>
      </c>
      <c r="J63" s="223"/>
    </row>
    <row r="64" spans="1:10" s="144" customFormat="1" ht="12.75" x14ac:dyDescent="0.25">
      <c r="A64" s="21">
        <v>371626000</v>
      </c>
      <c r="B64" s="22" t="s">
        <v>1151</v>
      </c>
      <c r="C64" s="10">
        <v>224</v>
      </c>
      <c r="D64" s="10">
        <v>39738</v>
      </c>
      <c r="E64" s="10" t="s">
        <v>1152</v>
      </c>
      <c r="F64" s="10"/>
      <c r="G64" s="10"/>
      <c r="H64" s="7" t="s">
        <v>359</v>
      </c>
      <c r="I64" s="23" t="s">
        <v>273</v>
      </c>
      <c r="J64" s="223"/>
    </row>
    <row r="65" spans="1:10" s="144" customFormat="1" ht="12.75" x14ac:dyDescent="0.25">
      <c r="A65" s="21">
        <v>371681000</v>
      </c>
      <c r="B65" s="46" t="s">
        <v>631</v>
      </c>
      <c r="C65" s="10">
        <v>210</v>
      </c>
      <c r="D65" s="10">
        <v>42744</v>
      </c>
      <c r="E65" s="10">
        <v>12.7</v>
      </c>
      <c r="F65" s="10" t="s">
        <v>1124</v>
      </c>
      <c r="G65" s="47"/>
      <c r="H65" s="47"/>
      <c r="I65" s="23" t="s">
        <v>259</v>
      </c>
      <c r="J65" s="223"/>
    </row>
    <row r="66" spans="1:10" s="144" customFormat="1" ht="12.75" x14ac:dyDescent="0.25">
      <c r="A66" s="21">
        <v>371888000</v>
      </c>
      <c r="B66" s="46" t="s">
        <v>823</v>
      </c>
      <c r="C66" s="25">
        <v>225</v>
      </c>
      <c r="D66" s="25">
        <v>40341</v>
      </c>
      <c r="E66" s="25" t="s">
        <v>824</v>
      </c>
      <c r="F66" s="10" t="s">
        <v>1124</v>
      </c>
      <c r="G66" s="47"/>
      <c r="H66" s="47"/>
      <c r="I66" s="50" t="s">
        <v>245</v>
      </c>
      <c r="J66" s="223"/>
    </row>
    <row r="67" spans="1:10" s="144" customFormat="1" ht="12.75" x14ac:dyDescent="0.25">
      <c r="A67" s="24">
        <v>372457000</v>
      </c>
      <c r="B67" s="22" t="s">
        <v>70</v>
      </c>
      <c r="C67" s="25">
        <v>180</v>
      </c>
      <c r="D67" s="27">
        <v>20763</v>
      </c>
      <c r="E67" s="25">
        <v>7.3</v>
      </c>
      <c r="F67" s="10" t="s">
        <v>1124</v>
      </c>
      <c r="G67" s="10"/>
      <c r="H67" s="25" t="s">
        <v>76</v>
      </c>
      <c r="I67" s="26" t="s">
        <v>71</v>
      </c>
      <c r="J67" s="223"/>
    </row>
    <row r="68" spans="1:10" s="144" customFormat="1" ht="12.75" x14ac:dyDescent="0.25">
      <c r="A68" s="21">
        <v>372854000</v>
      </c>
      <c r="B68" s="22" t="s">
        <v>327</v>
      </c>
      <c r="C68" s="10">
        <v>229</v>
      </c>
      <c r="D68" s="10">
        <v>43974</v>
      </c>
      <c r="E68" s="10">
        <v>7.6</v>
      </c>
      <c r="F68" s="10" t="s">
        <v>1124</v>
      </c>
      <c r="G68" s="10"/>
      <c r="H68" s="10"/>
      <c r="I68" s="23" t="s">
        <v>247</v>
      </c>
      <c r="J68" s="223"/>
    </row>
    <row r="69" spans="1:10" s="144" customFormat="1" ht="12.75" x14ac:dyDescent="0.25">
      <c r="A69" s="21">
        <v>373787000</v>
      </c>
      <c r="B69" s="22" t="s">
        <v>923</v>
      </c>
      <c r="C69" s="10">
        <v>245</v>
      </c>
      <c r="D69" s="10">
        <v>65005</v>
      </c>
      <c r="E69" s="10" t="s">
        <v>924</v>
      </c>
      <c r="F69" s="10" t="s">
        <v>1124</v>
      </c>
      <c r="G69" s="10"/>
      <c r="H69" s="10"/>
      <c r="I69" s="23" t="s">
        <v>245</v>
      </c>
      <c r="J69" s="223"/>
    </row>
    <row r="70" spans="1:10" s="144" customFormat="1" ht="12.75" x14ac:dyDescent="0.25">
      <c r="A70" s="21">
        <v>374339000</v>
      </c>
      <c r="B70" s="46" t="s">
        <v>765</v>
      </c>
      <c r="C70" s="10">
        <v>121.4</v>
      </c>
      <c r="D70" s="10">
        <v>7057</v>
      </c>
      <c r="E70" s="10" t="s">
        <v>795</v>
      </c>
      <c r="F70" s="10" t="s">
        <v>1124</v>
      </c>
      <c r="G70" s="47"/>
      <c r="H70" s="7" t="s">
        <v>359</v>
      </c>
      <c r="I70" s="48" t="s">
        <v>273</v>
      </c>
      <c r="J70" s="223"/>
    </row>
    <row r="71" spans="1:10" s="144" customFormat="1" ht="12.75" x14ac:dyDescent="0.25">
      <c r="A71" s="21">
        <v>374634000</v>
      </c>
      <c r="B71" s="22" t="s">
        <v>456</v>
      </c>
      <c r="C71" s="10">
        <v>190</v>
      </c>
      <c r="D71" s="10">
        <v>27763</v>
      </c>
      <c r="E71" s="10">
        <v>4.5</v>
      </c>
      <c r="F71" s="10" t="s">
        <v>1124</v>
      </c>
      <c r="G71" s="10"/>
      <c r="H71" s="7" t="s">
        <v>359</v>
      </c>
      <c r="I71" s="23" t="s">
        <v>273</v>
      </c>
      <c r="J71" s="223"/>
    </row>
    <row r="72" spans="1:10" s="144" customFormat="1" ht="12.75" x14ac:dyDescent="0.25">
      <c r="A72" s="21">
        <v>374945000</v>
      </c>
      <c r="B72" s="46" t="s">
        <v>688</v>
      </c>
      <c r="C72" s="10">
        <v>119</v>
      </c>
      <c r="D72" s="10">
        <v>7301</v>
      </c>
      <c r="E72" s="10">
        <v>7.7</v>
      </c>
      <c r="F72" s="10" t="s">
        <v>1124</v>
      </c>
      <c r="G72" s="48"/>
      <c r="H72" s="51"/>
      <c r="I72" s="55" t="s">
        <v>47</v>
      </c>
      <c r="J72" s="223"/>
    </row>
    <row r="73" spans="1:10" s="144" customFormat="1" ht="12.75" x14ac:dyDescent="0.25">
      <c r="A73" s="21">
        <v>405000239</v>
      </c>
      <c r="B73" s="46" t="s">
        <v>629</v>
      </c>
      <c r="C73" s="10">
        <v>185</v>
      </c>
      <c r="D73" s="10">
        <v>24167</v>
      </c>
      <c r="E73" s="10">
        <v>7.5</v>
      </c>
      <c r="F73" s="10" t="s">
        <v>1126</v>
      </c>
      <c r="G73" s="47"/>
      <c r="H73" s="73"/>
      <c r="I73" s="48" t="s">
        <v>160</v>
      </c>
      <c r="J73" s="223"/>
    </row>
    <row r="74" spans="1:10" s="144" customFormat="1" ht="12.75" x14ac:dyDescent="0.25">
      <c r="A74" s="21">
        <v>414429000</v>
      </c>
      <c r="B74" s="22" t="s">
        <v>1167</v>
      </c>
      <c r="C74" s="10">
        <v>224.9</v>
      </c>
      <c r="D74" s="10">
        <v>40605</v>
      </c>
      <c r="E74" s="10">
        <v>7.2</v>
      </c>
      <c r="F74" s="10"/>
      <c r="G74" s="10"/>
      <c r="H74" s="7" t="s">
        <v>359</v>
      </c>
      <c r="I74" s="23" t="s">
        <v>273</v>
      </c>
      <c r="J74" s="223"/>
    </row>
    <row r="75" spans="1:10" s="144" customFormat="1" ht="12.75" x14ac:dyDescent="0.25">
      <c r="A75" s="21">
        <v>414716000</v>
      </c>
      <c r="B75" s="37" t="s">
        <v>486</v>
      </c>
      <c r="C75" s="10">
        <v>225</v>
      </c>
      <c r="D75" s="10">
        <v>40913</v>
      </c>
      <c r="E75" s="10">
        <v>14.3</v>
      </c>
      <c r="F75" s="10" t="s">
        <v>1127</v>
      </c>
      <c r="G75" s="38"/>
      <c r="H75" s="7" t="s">
        <v>359</v>
      </c>
      <c r="I75" s="39" t="s">
        <v>273</v>
      </c>
      <c r="J75" s="223"/>
    </row>
    <row r="76" spans="1:10" s="144" customFormat="1" ht="12.75" x14ac:dyDescent="0.25">
      <c r="A76" s="21">
        <v>440016000</v>
      </c>
      <c r="B76" s="22" t="s">
        <v>1013</v>
      </c>
      <c r="C76" s="10">
        <v>128</v>
      </c>
      <c r="D76" s="10">
        <v>8562</v>
      </c>
      <c r="E76" s="10" t="s">
        <v>902</v>
      </c>
      <c r="F76" s="10" t="s">
        <v>1128</v>
      </c>
      <c r="G76" s="10"/>
      <c r="H76" s="10"/>
      <c r="I76" s="23" t="s">
        <v>160</v>
      </c>
      <c r="J76" s="223"/>
    </row>
    <row r="77" spans="1:10" s="144" customFormat="1" ht="12.75" x14ac:dyDescent="0.25">
      <c r="A77" s="21">
        <v>440431000</v>
      </c>
      <c r="B77" s="22" t="s">
        <v>407</v>
      </c>
      <c r="C77" s="10">
        <v>120</v>
      </c>
      <c r="D77" s="10">
        <v>8072</v>
      </c>
      <c r="E77" s="10">
        <v>8.3000000000000007</v>
      </c>
      <c r="F77" s="10" t="s">
        <v>1128</v>
      </c>
      <c r="G77" s="10"/>
      <c r="H77" s="10" t="s">
        <v>412</v>
      </c>
      <c r="I77" s="23" t="s">
        <v>414</v>
      </c>
      <c r="J77" s="223"/>
    </row>
    <row r="78" spans="1:10" s="144" customFormat="1" ht="12.75" x14ac:dyDescent="0.25">
      <c r="A78" s="21">
        <v>440982000</v>
      </c>
      <c r="B78" s="22" t="s">
        <v>328</v>
      </c>
      <c r="C78" s="10">
        <v>137</v>
      </c>
      <c r="D78" s="10">
        <v>9240</v>
      </c>
      <c r="E78" s="10" t="s">
        <v>1016</v>
      </c>
      <c r="F78" s="10" t="s">
        <v>1128</v>
      </c>
      <c r="G78" s="10"/>
      <c r="H78" s="10"/>
      <c r="I78" s="23" t="s">
        <v>259</v>
      </c>
      <c r="J78" s="223"/>
    </row>
    <row r="79" spans="1:10" s="144" customFormat="1" ht="12.75" x14ac:dyDescent="0.25">
      <c r="A79" s="21">
        <v>441209000</v>
      </c>
      <c r="B79" s="22" t="s">
        <v>329</v>
      </c>
      <c r="C79" s="10">
        <v>134</v>
      </c>
      <c r="D79" s="10">
        <v>8295</v>
      </c>
      <c r="E79" s="10">
        <v>6.6</v>
      </c>
      <c r="F79" s="10" t="s">
        <v>1128</v>
      </c>
      <c r="G79" s="10"/>
      <c r="H79" s="10"/>
      <c r="I79" s="23" t="s">
        <v>47</v>
      </c>
      <c r="J79" s="223"/>
    </row>
    <row r="80" spans="1:10" s="144" customFormat="1" ht="12.75" x14ac:dyDescent="0.25">
      <c r="A80" s="21">
        <v>457279000</v>
      </c>
      <c r="B80" s="46" t="s">
        <v>701</v>
      </c>
      <c r="C80" s="10">
        <v>100</v>
      </c>
      <c r="D80" s="10">
        <v>6448</v>
      </c>
      <c r="E80" s="10">
        <v>8.4</v>
      </c>
      <c r="F80" s="10" t="s">
        <v>1129</v>
      </c>
      <c r="G80" s="47"/>
      <c r="H80" s="47"/>
      <c r="I80" s="48" t="s">
        <v>150</v>
      </c>
      <c r="J80" s="223"/>
    </row>
    <row r="81" spans="1:10" s="144" customFormat="1" ht="12.75" x14ac:dyDescent="0.25">
      <c r="A81" s="24">
        <v>457900363</v>
      </c>
      <c r="B81" s="22" t="s">
        <v>72</v>
      </c>
      <c r="C81" s="25">
        <v>195</v>
      </c>
      <c r="D81" s="25">
        <v>20563</v>
      </c>
      <c r="E81" s="25">
        <v>7.1</v>
      </c>
      <c r="F81" s="25" t="s">
        <v>73</v>
      </c>
      <c r="G81" s="25" t="s">
        <v>278</v>
      </c>
      <c r="H81" s="25" t="s">
        <v>74</v>
      </c>
      <c r="I81" s="26" t="s">
        <v>48</v>
      </c>
      <c r="J81" s="223"/>
    </row>
    <row r="82" spans="1:10" s="144" customFormat="1" ht="12.75" x14ac:dyDescent="0.25">
      <c r="A82" s="21">
        <v>477078500</v>
      </c>
      <c r="B82" s="22" t="s">
        <v>1047</v>
      </c>
      <c r="C82" s="10">
        <v>199</v>
      </c>
      <c r="D82" s="10">
        <v>63474</v>
      </c>
      <c r="E82" s="10" t="s">
        <v>967</v>
      </c>
      <c r="F82" s="10" t="s">
        <v>1130</v>
      </c>
      <c r="G82" s="10"/>
      <c r="H82" s="10"/>
      <c r="I82" s="23" t="s">
        <v>150</v>
      </c>
      <c r="J82" s="223"/>
    </row>
    <row r="83" spans="1:10" s="144" customFormat="1" ht="12.75" x14ac:dyDescent="0.25">
      <c r="A83" s="21">
        <v>477081300</v>
      </c>
      <c r="B83" s="46" t="s">
        <v>639</v>
      </c>
      <c r="C83" s="10">
        <v>150</v>
      </c>
      <c r="D83" s="10">
        <v>11103</v>
      </c>
      <c r="E83" s="10">
        <v>6</v>
      </c>
      <c r="F83" s="10" t="s">
        <v>1130</v>
      </c>
      <c r="G83" s="47"/>
      <c r="H83" s="47"/>
      <c r="I83" s="48" t="s">
        <v>160</v>
      </c>
      <c r="J83" s="223"/>
    </row>
    <row r="84" spans="1:10" s="144" customFormat="1" ht="12.75" x14ac:dyDescent="0.25">
      <c r="A84" s="21">
        <v>477141600</v>
      </c>
      <c r="B84" s="22" t="s">
        <v>908</v>
      </c>
      <c r="C84" s="10">
        <v>183</v>
      </c>
      <c r="D84" s="10">
        <v>29266</v>
      </c>
      <c r="E84" s="10">
        <v>8</v>
      </c>
      <c r="F84" s="10" t="s">
        <v>1130</v>
      </c>
      <c r="G84" s="10"/>
      <c r="H84" s="10"/>
      <c r="I84" s="23" t="s">
        <v>160</v>
      </c>
      <c r="J84" s="223"/>
    </row>
    <row r="85" spans="1:10" s="144" customFormat="1" ht="12.75" x14ac:dyDescent="0.25">
      <c r="A85" s="21">
        <v>477182900</v>
      </c>
      <c r="B85" s="46" t="s">
        <v>799</v>
      </c>
      <c r="C85" s="25">
        <v>125</v>
      </c>
      <c r="D85" s="96">
        <v>10820</v>
      </c>
      <c r="E85" s="25" t="s">
        <v>263</v>
      </c>
      <c r="F85" s="10" t="s">
        <v>1130</v>
      </c>
      <c r="G85" s="47"/>
      <c r="H85" s="10" t="s">
        <v>1149</v>
      </c>
      <c r="I85" s="50" t="s">
        <v>262</v>
      </c>
      <c r="J85" s="223"/>
    </row>
    <row r="86" spans="1:10" s="144" customFormat="1" ht="12.75" x14ac:dyDescent="0.25">
      <c r="A86" s="21">
        <v>477269200</v>
      </c>
      <c r="B86" s="22" t="s">
        <v>1046</v>
      </c>
      <c r="C86" s="10">
        <v>229</v>
      </c>
      <c r="D86" s="10">
        <v>44114</v>
      </c>
      <c r="E86" s="10" t="s">
        <v>1030</v>
      </c>
      <c r="F86" s="10" t="s">
        <v>1130</v>
      </c>
      <c r="G86" s="10"/>
      <c r="H86" s="10" t="s">
        <v>1149</v>
      </c>
      <c r="I86" s="23" t="s">
        <v>262</v>
      </c>
      <c r="J86" s="223"/>
    </row>
    <row r="87" spans="1:10" s="144" customFormat="1" ht="12.75" x14ac:dyDescent="0.25">
      <c r="A87" s="21">
        <v>477390200</v>
      </c>
      <c r="B87" s="22" t="s">
        <v>330</v>
      </c>
      <c r="C87" s="10">
        <v>229</v>
      </c>
      <c r="D87" s="10">
        <v>42605</v>
      </c>
      <c r="E87" s="10">
        <v>8.3000000000000007</v>
      </c>
      <c r="F87" s="10" t="s">
        <v>1130</v>
      </c>
      <c r="G87" s="10"/>
      <c r="H87" s="7" t="s">
        <v>359</v>
      </c>
      <c r="I87" s="23" t="s">
        <v>273</v>
      </c>
      <c r="J87" s="223"/>
    </row>
    <row r="88" spans="1:10" s="144" customFormat="1" ht="12.75" x14ac:dyDescent="0.25">
      <c r="A88" s="24">
        <v>477402000</v>
      </c>
      <c r="B88" s="22" t="s">
        <v>75</v>
      </c>
      <c r="C88" s="25">
        <v>180</v>
      </c>
      <c r="D88" s="25">
        <v>20969</v>
      </c>
      <c r="E88" s="25">
        <v>10.3</v>
      </c>
      <c r="F88" s="10" t="s">
        <v>1130</v>
      </c>
      <c r="G88" s="25"/>
      <c r="H88" s="25" t="s">
        <v>76</v>
      </c>
      <c r="I88" s="26" t="s">
        <v>71</v>
      </c>
      <c r="J88" s="223"/>
    </row>
    <row r="89" spans="1:10" s="144" customFormat="1" ht="12.75" x14ac:dyDescent="0.25">
      <c r="A89" s="21">
        <v>477441500</v>
      </c>
      <c r="B89" s="22" t="s">
        <v>77</v>
      </c>
      <c r="C89" s="10">
        <v>180</v>
      </c>
      <c r="D89" s="10">
        <v>23405</v>
      </c>
      <c r="E89" s="10" t="s">
        <v>1063</v>
      </c>
      <c r="F89" s="10" t="s">
        <v>1130</v>
      </c>
      <c r="G89" s="10"/>
      <c r="H89" s="10"/>
      <c r="I89" s="23" t="s">
        <v>920</v>
      </c>
      <c r="J89" s="223"/>
    </row>
    <row r="90" spans="1:10" s="144" customFormat="1" ht="12.75" x14ac:dyDescent="0.25">
      <c r="A90" s="21">
        <v>477455800</v>
      </c>
      <c r="B90" s="22" t="s">
        <v>78</v>
      </c>
      <c r="C90" s="10">
        <v>183</v>
      </c>
      <c r="D90" s="10">
        <v>43901</v>
      </c>
      <c r="E90" s="10">
        <v>12.2</v>
      </c>
      <c r="F90" s="10" t="s">
        <v>1130</v>
      </c>
      <c r="G90" s="10"/>
      <c r="H90" s="10"/>
      <c r="I90" s="23" t="s">
        <v>817</v>
      </c>
      <c r="J90" s="223"/>
    </row>
    <row r="91" spans="1:10" s="144" customFormat="1" ht="12.75" x14ac:dyDescent="0.25">
      <c r="A91" s="21">
        <v>477614500</v>
      </c>
      <c r="B91" s="46" t="s">
        <v>761</v>
      </c>
      <c r="C91" s="10" t="s">
        <v>762</v>
      </c>
      <c r="D91" s="97">
        <v>20763</v>
      </c>
      <c r="E91" s="10" t="s">
        <v>763</v>
      </c>
      <c r="F91" s="10" t="s">
        <v>1130</v>
      </c>
      <c r="G91" s="47"/>
      <c r="H91" s="25" t="s">
        <v>1143</v>
      </c>
      <c r="I91" s="23" t="s">
        <v>71</v>
      </c>
      <c r="J91" s="223"/>
    </row>
    <row r="92" spans="1:10" s="144" customFormat="1" ht="12.75" x14ac:dyDescent="0.25">
      <c r="A92" s="21">
        <v>477700500</v>
      </c>
      <c r="B92" s="22" t="s">
        <v>1111</v>
      </c>
      <c r="C92" s="10">
        <v>185</v>
      </c>
      <c r="D92" s="10">
        <v>26479</v>
      </c>
      <c r="E92" s="10" t="s">
        <v>131</v>
      </c>
      <c r="F92" s="10" t="s">
        <v>1130</v>
      </c>
      <c r="G92" s="10"/>
      <c r="H92" s="20" t="s">
        <v>1143</v>
      </c>
      <c r="I92" s="23" t="s">
        <v>71</v>
      </c>
      <c r="J92" s="223"/>
    </row>
    <row r="93" spans="1:10" s="144" customFormat="1" ht="12.75" x14ac:dyDescent="0.25">
      <c r="A93" s="21">
        <v>477714200</v>
      </c>
      <c r="B93" s="22" t="s">
        <v>1186</v>
      </c>
      <c r="C93" s="10">
        <v>199</v>
      </c>
      <c r="D93" s="10">
        <v>35812</v>
      </c>
      <c r="E93" s="10">
        <v>12.5</v>
      </c>
      <c r="F93" s="10"/>
      <c r="G93" s="10"/>
      <c r="H93" s="16"/>
      <c r="I93" s="23" t="s">
        <v>414</v>
      </c>
      <c r="J93" s="223"/>
    </row>
    <row r="94" spans="1:10" s="144" customFormat="1" ht="12.75" x14ac:dyDescent="0.25">
      <c r="A94" s="21">
        <v>477714400</v>
      </c>
      <c r="B94" s="22" t="s">
        <v>903</v>
      </c>
      <c r="C94" s="10">
        <v>199</v>
      </c>
      <c r="D94" s="10">
        <v>35812</v>
      </c>
      <c r="E94" s="10" t="s">
        <v>189</v>
      </c>
      <c r="F94" s="10" t="s">
        <v>1130</v>
      </c>
      <c r="G94" s="10"/>
      <c r="H94" s="10"/>
      <c r="I94" s="23" t="s">
        <v>259</v>
      </c>
      <c r="J94" s="223"/>
    </row>
    <row r="95" spans="1:10" s="144" customFormat="1" ht="12.75" x14ac:dyDescent="0.25">
      <c r="A95" s="21">
        <v>477721900</v>
      </c>
      <c r="B95" s="46" t="s">
        <v>674</v>
      </c>
      <c r="C95" s="10">
        <v>190</v>
      </c>
      <c r="D95" s="10">
        <v>32987</v>
      </c>
      <c r="E95" s="10">
        <v>12.2</v>
      </c>
      <c r="F95" s="10" t="s">
        <v>1130</v>
      </c>
      <c r="G95" s="47"/>
      <c r="H95" s="47"/>
      <c r="I95" s="48" t="s">
        <v>262</v>
      </c>
      <c r="J95" s="223"/>
    </row>
    <row r="96" spans="1:10" s="144" customFormat="1" ht="12.75" x14ac:dyDescent="0.25">
      <c r="A96" s="24">
        <v>477854600</v>
      </c>
      <c r="B96" s="22" t="s">
        <v>80</v>
      </c>
      <c r="C96" s="25">
        <v>183</v>
      </c>
      <c r="D96" s="27">
        <v>29375</v>
      </c>
      <c r="E96" s="25">
        <v>8.4</v>
      </c>
      <c r="F96" s="10" t="s">
        <v>1130</v>
      </c>
      <c r="G96" s="10"/>
      <c r="H96" s="10"/>
      <c r="I96" s="23" t="s">
        <v>160</v>
      </c>
      <c r="J96" s="223"/>
    </row>
    <row r="97" spans="1:10" s="144" customFormat="1" ht="12.75" x14ac:dyDescent="0.25">
      <c r="A97" s="21">
        <v>477986300</v>
      </c>
      <c r="B97" s="22" t="s">
        <v>458</v>
      </c>
      <c r="C97" s="10">
        <v>292</v>
      </c>
      <c r="D97" s="10">
        <v>92770</v>
      </c>
      <c r="E97" s="10">
        <v>9.1999999999999993</v>
      </c>
      <c r="F97" s="10" t="s">
        <v>1130</v>
      </c>
      <c r="G97" s="10"/>
      <c r="H97" s="10"/>
      <c r="I97" s="23" t="s">
        <v>1062</v>
      </c>
      <c r="J97" s="223"/>
    </row>
    <row r="98" spans="1:10" s="144" customFormat="1" ht="12.75" x14ac:dyDescent="0.25">
      <c r="A98" s="21">
        <v>515355000</v>
      </c>
      <c r="B98" s="46" t="s">
        <v>768</v>
      </c>
      <c r="C98" s="10" t="s">
        <v>767</v>
      </c>
      <c r="D98" s="10">
        <v>1263</v>
      </c>
      <c r="E98" s="10" t="s">
        <v>195</v>
      </c>
      <c r="F98" s="47"/>
      <c r="G98" s="47"/>
      <c r="H98" s="47"/>
      <c r="I98" s="48" t="s">
        <v>39</v>
      </c>
      <c r="J98" s="223"/>
    </row>
    <row r="99" spans="1:10" s="144" customFormat="1" ht="12.75" x14ac:dyDescent="0.25">
      <c r="A99" s="21">
        <v>515611000</v>
      </c>
      <c r="B99" s="22" t="s">
        <v>2319</v>
      </c>
      <c r="C99" s="25" t="s">
        <v>796</v>
      </c>
      <c r="D99" s="25" t="s">
        <v>797</v>
      </c>
      <c r="E99" s="25" t="s">
        <v>964</v>
      </c>
      <c r="F99" s="10"/>
      <c r="G99" s="10"/>
      <c r="H99" s="10" t="s">
        <v>58</v>
      </c>
      <c r="I99" s="23" t="s">
        <v>160</v>
      </c>
      <c r="J99" s="223"/>
    </row>
    <row r="100" spans="1:10" s="144" customFormat="1" ht="12.75" x14ac:dyDescent="0.25">
      <c r="A100" s="21"/>
      <c r="B100" s="22" t="s">
        <v>847</v>
      </c>
      <c r="C100" s="10" t="s">
        <v>848</v>
      </c>
      <c r="D100" s="10" t="s">
        <v>849</v>
      </c>
      <c r="E100" s="97">
        <v>3070</v>
      </c>
      <c r="F100" s="25" t="s">
        <v>73</v>
      </c>
      <c r="G100" s="38"/>
      <c r="H100" s="38"/>
      <c r="I100" s="23" t="s">
        <v>245</v>
      </c>
      <c r="J100" s="223"/>
    </row>
    <row r="101" spans="1:10" s="144" customFormat="1" ht="12.75" x14ac:dyDescent="0.25">
      <c r="A101" s="21">
        <v>525000009</v>
      </c>
      <c r="B101" s="22" t="s">
        <v>969</v>
      </c>
      <c r="C101" s="10" t="s">
        <v>1031</v>
      </c>
      <c r="D101" s="10" t="s">
        <v>1032</v>
      </c>
      <c r="E101" s="10" t="s">
        <v>1698</v>
      </c>
      <c r="F101" s="25" t="s">
        <v>73</v>
      </c>
      <c r="G101" s="10"/>
      <c r="H101" s="10"/>
      <c r="I101" s="23" t="s">
        <v>92</v>
      </c>
      <c r="J101" s="223"/>
    </row>
    <row r="102" spans="1:10" s="144" customFormat="1" ht="12.75" x14ac:dyDescent="0.25">
      <c r="A102" s="24">
        <v>525000054</v>
      </c>
      <c r="B102" s="22" t="s">
        <v>81</v>
      </c>
      <c r="C102" s="25">
        <v>63</v>
      </c>
      <c r="D102" s="25">
        <v>11913</v>
      </c>
      <c r="E102" s="25">
        <v>4.5</v>
      </c>
      <c r="F102" s="25" t="s">
        <v>73</v>
      </c>
      <c r="G102" s="10"/>
      <c r="H102" s="10"/>
      <c r="I102" s="26" t="s">
        <v>39</v>
      </c>
      <c r="J102" s="223"/>
    </row>
    <row r="103" spans="1:10" s="144" customFormat="1" ht="12.75" x14ac:dyDescent="0.25">
      <c r="A103" s="21">
        <v>525000218</v>
      </c>
      <c r="B103" s="46" t="s">
        <v>813</v>
      </c>
      <c r="C103" s="25" t="s">
        <v>814</v>
      </c>
      <c r="D103" s="25" t="s">
        <v>815</v>
      </c>
      <c r="E103" s="25" t="s">
        <v>816</v>
      </c>
      <c r="F103" s="25" t="s">
        <v>73</v>
      </c>
      <c r="G103" s="47"/>
      <c r="H103" s="47"/>
      <c r="I103" s="50" t="s">
        <v>150</v>
      </c>
      <c r="J103" s="223"/>
    </row>
    <row r="104" spans="1:10" s="144" customFormat="1" ht="12.75" x14ac:dyDescent="0.25">
      <c r="A104" s="21">
        <v>525000230</v>
      </c>
      <c r="B104" s="22" t="s">
        <v>2566</v>
      </c>
      <c r="C104" s="25" t="s">
        <v>830</v>
      </c>
      <c r="D104" s="25" t="s">
        <v>831</v>
      </c>
      <c r="E104" s="25" t="s">
        <v>832</v>
      </c>
      <c r="F104" s="25" t="s">
        <v>73</v>
      </c>
      <c r="G104" s="47"/>
      <c r="H104" s="47"/>
      <c r="I104" s="50" t="s">
        <v>39</v>
      </c>
      <c r="J104" s="223"/>
    </row>
    <row r="105" spans="1:10" s="144" customFormat="1" ht="12.75" x14ac:dyDescent="0.25">
      <c r="A105" s="21">
        <v>525002084</v>
      </c>
      <c r="B105" s="22" t="s">
        <v>509</v>
      </c>
      <c r="C105" s="10">
        <v>101</v>
      </c>
      <c r="D105" s="10">
        <v>5532</v>
      </c>
      <c r="E105" s="10">
        <v>5.2</v>
      </c>
      <c r="F105" s="25" t="s">
        <v>73</v>
      </c>
      <c r="G105" s="10"/>
      <c r="H105" s="10"/>
      <c r="I105" s="39" t="s">
        <v>245</v>
      </c>
      <c r="J105" s="223"/>
    </row>
    <row r="106" spans="1:10" s="144" customFormat="1" ht="12.75" x14ac:dyDescent="0.25">
      <c r="A106" s="21">
        <v>525002087</v>
      </c>
      <c r="B106" s="37" t="s">
        <v>513</v>
      </c>
      <c r="C106" s="10">
        <v>125</v>
      </c>
      <c r="D106" s="10">
        <v>8915</v>
      </c>
      <c r="E106" s="10">
        <v>3</v>
      </c>
      <c r="F106" s="25" t="s">
        <v>73</v>
      </c>
      <c r="G106" s="38"/>
      <c r="H106" s="38"/>
      <c r="I106" s="39" t="s">
        <v>245</v>
      </c>
      <c r="J106" s="223"/>
    </row>
    <row r="107" spans="1:10" s="144" customFormat="1" ht="12.75" x14ac:dyDescent="0.25">
      <c r="A107" s="21">
        <v>525003001</v>
      </c>
      <c r="B107" s="22" t="s">
        <v>3765</v>
      </c>
      <c r="C107" s="10" t="s">
        <v>1865</v>
      </c>
      <c r="D107" s="10">
        <v>1139</v>
      </c>
      <c r="E107" s="10" t="s">
        <v>726</v>
      </c>
      <c r="F107" s="25" t="s">
        <v>73</v>
      </c>
      <c r="G107" s="38"/>
      <c r="H107" s="38"/>
      <c r="I107" s="23" t="s">
        <v>2398</v>
      </c>
      <c r="J107" s="223"/>
    </row>
    <row r="108" spans="1:10" s="144" customFormat="1" ht="12.75" x14ac:dyDescent="0.25">
      <c r="A108" s="21">
        <v>525003015</v>
      </c>
      <c r="B108" s="22" t="s">
        <v>83</v>
      </c>
      <c r="C108" s="25">
        <v>98</v>
      </c>
      <c r="D108" s="25">
        <v>3508</v>
      </c>
      <c r="E108" s="25">
        <v>4</v>
      </c>
      <c r="F108" s="25" t="s">
        <v>73</v>
      </c>
      <c r="G108" s="25"/>
      <c r="H108" s="25"/>
      <c r="I108" s="26" t="s">
        <v>84</v>
      </c>
      <c r="J108" s="223"/>
    </row>
    <row r="109" spans="1:10" s="144" customFormat="1" ht="12.75" x14ac:dyDescent="0.25">
      <c r="A109" s="21">
        <v>525003067</v>
      </c>
      <c r="B109" s="46" t="s">
        <v>842</v>
      </c>
      <c r="C109" s="25" t="s">
        <v>843</v>
      </c>
      <c r="D109" s="25" t="s">
        <v>844</v>
      </c>
      <c r="E109" s="25" t="s">
        <v>845</v>
      </c>
      <c r="F109" s="25" t="s">
        <v>73</v>
      </c>
      <c r="G109" s="47"/>
      <c r="H109" s="47"/>
      <c r="I109" s="50" t="s">
        <v>846</v>
      </c>
      <c r="J109" s="223"/>
    </row>
    <row r="110" spans="1:10" s="144" customFormat="1" ht="12.75" x14ac:dyDescent="0.25">
      <c r="A110" s="21">
        <v>525003084</v>
      </c>
      <c r="B110" s="22" t="s">
        <v>1215</v>
      </c>
      <c r="C110" s="10" t="s">
        <v>1216</v>
      </c>
      <c r="D110" s="10" t="s">
        <v>1218</v>
      </c>
      <c r="E110" s="10" t="s">
        <v>1217</v>
      </c>
      <c r="F110" s="10"/>
      <c r="G110" s="10"/>
      <c r="H110" s="10"/>
      <c r="I110" s="23" t="s">
        <v>46</v>
      </c>
      <c r="J110" s="223"/>
    </row>
    <row r="111" spans="1:10" s="144" customFormat="1" ht="12.75" x14ac:dyDescent="0.25">
      <c r="A111" s="21">
        <v>525003091</v>
      </c>
      <c r="B111" s="22" t="s">
        <v>373</v>
      </c>
      <c r="C111" s="10" t="s">
        <v>385</v>
      </c>
      <c r="D111" s="10" t="s">
        <v>384</v>
      </c>
      <c r="E111" s="10"/>
      <c r="F111" s="25" t="s">
        <v>73</v>
      </c>
      <c r="G111" s="10"/>
      <c r="H111" s="10"/>
      <c r="I111" s="23" t="s">
        <v>114</v>
      </c>
      <c r="J111" s="223"/>
    </row>
    <row r="112" spans="1:10" s="144" customFormat="1" ht="12.75" x14ac:dyDescent="0.25">
      <c r="A112" s="21">
        <v>525003095</v>
      </c>
      <c r="B112" s="22" t="s">
        <v>1227</v>
      </c>
      <c r="C112" s="10">
        <v>88.8</v>
      </c>
      <c r="D112" s="10">
        <v>1593</v>
      </c>
      <c r="E112" s="10">
        <v>4.5</v>
      </c>
      <c r="F112" s="10"/>
      <c r="G112" s="10"/>
      <c r="H112" s="10"/>
      <c r="I112" s="23" t="s">
        <v>145</v>
      </c>
      <c r="J112" s="223"/>
    </row>
    <row r="113" spans="1:10" s="144" customFormat="1" ht="12.75" x14ac:dyDescent="0.25">
      <c r="A113" s="21">
        <v>525003129</v>
      </c>
      <c r="B113" s="22" t="s">
        <v>85</v>
      </c>
      <c r="C113" s="10">
        <v>67</v>
      </c>
      <c r="D113" s="10">
        <v>700</v>
      </c>
      <c r="E113" s="25" t="s">
        <v>86</v>
      </c>
      <c r="F113" s="25" t="s">
        <v>73</v>
      </c>
      <c r="G113" s="10"/>
      <c r="H113" s="10"/>
      <c r="I113" s="26" t="s">
        <v>87</v>
      </c>
      <c r="J113" s="223"/>
    </row>
    <row r="114" spans="1:10" s="144" customFormat="1" ht="12.75" x14ac:dyDescent="0.25">
      <c r="A114" s="21">
        <v>525003196</v>
      </c>
      <c r="B114" s="46" t="s">
        <v>679</v>
      </c>
      <c r="C114" s="10" t="s">
        <v>434</v>
      </c>
      <c r="D114" s="10" t="s">
        <v>680</v>
      </c>
      <c r="E114" s="10" t="s">
        <v>681</v>
      </c>
      <c r="F114" s="25" t="s">
        <v>73</v>
      </c>
      <c r="G114" s="47"/>
      <c r="H114" s="51"/>
      <c r="I114" s="48" t="s">
        <v>247</v>
      </c>
      <c r="J114" s="223"/>
    </row>
    <row r="115" spans="1:10" s="144" customFormat="1" ht="12.75" x14ac:dyDescent="0.25">
      <c r="A115" s="21">
        <v>525003251</v>
      </c>
      <c r="B115" s="22" t="s">
        <v>1232</v>
      </c>
      <c r="C115" s="10" t="s">
        <v>1233</v>
      </c>
      <c r="D115" s="10" t="s">
        <v>1234</v>
      </c>
      <c r="E115" s="10" t="s">
        <v>1888</v>
      </c>
      <c r="F115" s="10"/>
      <c r="G115" s="10"/>
      <c r="H115" s="10"/>
      <c r="I115" s="23" t="s">
        <v>39</v>
      </c>
      <c r="J115" s="223"/>
    </row>
    <row r="116" spans="1:10" s="144" customFormat="1" ht="12.75" x14ac:dyDescent="0.25">
      <c r="A116" s="24">
        <v>525003269</v>
      </c>
      <c r="B116" s="22" t="s">
        <v>88</v>
      </c>
      <c r="C116" s="25">
        <v>117</v>
      </c>
      <c r="D116" s="25">
        <v>6186</v>
      </c>
      <c r="E116" s="25" t="s">
        <v>89</v>
      </c>
      <c r="F116" s="25" t="s">
        <v>73</v>
      </c>
      <c r="G116" s="10"/>
      <c r="H116" s="10"/>
      <c r="I116" s="26" t="s">
        <v>39</v>
      </c>
      <c r="J116" s="223"/>
    </row>
    <row r="117" spans="1:10" s="144" customFormat="1" ht="12.75" x14ac:dyDescent="0.25">
      <c r="A117" s="21">
        <v>525003305</v>
      </c>
      <c r="B117" s="22" t="s">
        <v>405</v>
      </c>
      <c r="C117" s="10">
        <v>106.8</v>
      </c>
      <c r="D117" s="10">
        <v>44.05</v>
      </c>
      <c r="E117" s="10">
        <v>7.2</v>
      </c>
      <c r="F117" s="25" t="s">
        <v>73</v>
      </c>
      <c r="G117" s="10"/>
      <c r="H117" s="10" t="s">
        <v>58</v>
      </c>
      <c r="I117" s="23" t="s">
        <v>1534</v>
      </c>
      <c r="J117" s="223"/>
    </row>
    <row r="118" spans="1:10" s="144" customFormat="1" ht="12.75" x14ac:dyDescent="0.25">
      <c r="A118" s="21">
        <v>525003320</v>
      </c>
      <c r="B118" s="22" t="s">
        <v>985</v>
      </c>
      <c r="C118" s="10" t="s">
        <v>3666</v>
      </c>
      <c r="D118" s="10" t="s">
        <v>986</v>
      </c>
      <c r="E118" s="10" t="s">
        <v>3559</v>
      </c>
      <c r="F118" s="25" t="s">
        <v>73</v>
      </c>
      <c r="G118" s="10"/>
      <c r="H118" s="10"/>
      <c r="I118" s="23" t="s">
        <v>3665</v>
      </c>
      <c r="J118" s="223"/>
    </row>
    <row r="119" spans="1:10" s="144" customFormat="1" ht="12.75" x14ac:dyDescent="0.25">
      <c r="A119" s="21">
        <v>525003329</v>
      </c>
      <c r="B119" s="22" t="s">
        <v>90</v>
      </c>
      <c r="C119" s="10" t="s">
        <v>3702</v>
      </c>
      <c r="D119" s="10">
        <v>2288</v>
      </c>
      <c r="E119" s="25" t="s">
        <v>764</v>
      </c>
      <c r="F119" s="25" t="s">
        <v>73</v>
      </c>
      <c r="G119" s="10"/>
      <c r="H119" s="10"/>
      <c r="I119" s="26" t="s">
        <v>92</v>
      </c>
      <c r="J119" s="223"/>
    </row>
    <row r="120" spans="1:10" s="144" customFormat="1" ht="12.75" x14ac:dyDescent="0.25">
      <c r="A120" s="21">
        <v>525003366</v>
      </c>
      <c r="B120" s="22" t="s">
        <v>5121</v>
      </c>
      <c r="C120" s="10">
        <v>84</v>
      </c>
      <c r="D120" s="10">
        <v>2705</v>
      </c>
      <c r="E120" s="10" t="s">
        <v>95</v>
      </c>
      <c r="F120" s="25" t="s">
        <v>73</v>
      </c>
      <c r="G120" s="10"/>
      <c r="H120" s="10"/>
      <c r="I120" s="23" t="s">
        <v>92</v>
      </c>
      <c r="J120" s="223"/>
    </row>
    <row r="121" spans="1:10" s="144" customFormat="1" ht="12.75" x14ac:dyDescent="0.25">
      <c r="A121" s="21">
        <v>525003445</v>
      </c>
      <c r="B121" s="46" t="s">
        <v>757</v>
      </c>
      <c r="C121" s="10" t="s">
        <v>758</v>
      </c>
      <c r="D121" s="10" t="s">
        <v>759</v>
      </c>
      <c r="E121" s="10" t="s">
        <v>760</v>
      </c>
      <c r="F121" s="25" t="s">
        <v>73</v>
      </c>
      <c r="G121" s="47"/>
      <c r="H121" s="47"/>
      <c r="I121" s="48" t="s">
        <v>404</v>
      </c>
      <c r="J121" s="223"/>
    </row>
    <row r="122" spans="1:10" s="144" customFormat="1" ht="12.75" x14ac:dyDescent="0.25">
      <c r="A122" s="21">
        <v>525003640</v>
      </c>
      <c r="B122" s="22" t="s">
        <v>989</v>
      </c>
      <c r="C122" s="10">
        <v>83</v>
      </c>
      <c r="D122" s="10">
        <v>1996</v>
      </c>
      <c r="E122" s="10" t="s">
        <v>86</v>
      </c>
      <c r="F122" s="25" t="s">
        <v>73</v>
      </c>
      <c r="G122" s="10"/>
      <c r="H122" s="10"/>
      <c r="I122" s="23" t="s">
        <v>150</v>
      </c>
      <c r="J122" s="223"/>
    </row>
    <row r="123" spans="1:10" s="144" customFormat="1" ht="12.75" x14ac:dyDescent="0.25">
      <c r="A123" s="21">
        <v>525003643</v>
      </c>
      <c r="B123" s="22" t="s">
        <v>1033</v>
      </c>
      <c r="C123" s="10">
        <v>105</v>
      </c>
      <c r="D123" s="10">
        <v>4432</v>
      </c>
      <c r="E123" s="10" t="s">
        <v>140</v>
      </c>
      <c r="F123" s="25" t="s">
        <v>73</v>
      </c>
      <c r="G123" s="10"/>
      <c r="H123" s="10"/>
      <c r="I123" s="23" t="s">
        <v>47</v>
      </c>
      <c r="J123" s="223"/>
    </row>
    <row r="124" spans="1:10" s="144" customFormat="1" ht="12.75" x14ac:dyDescent="0.25">
      <c r="A124" s="21">
        <v>525003644</v>
      </c>
      <c r="B124" s="46" t="s">
        <v>596</v>
      </c>
      <c r="C124" s="10" t="s">
        <v>597</v>
      </c>
      <c r="D124" s="10" t="s">
        <v>598</v>
      </c>
      <c r="E124" s="10" t="s">
        <v>599</v>
      </c>
      <c r="F124" s="25" t="s">
        <v>73</v>
      </c>
      <c r="G124" s="47"/>
      <c r="H124" s="47"/>
      <c r="I124" s="48" t="s">
        <v>39</v>
      </c>
      <c r="J124" s="223"/>
    </row>
    <row r="125" spans="1:10" s="144" customFormat="1" ht="12.75" x14ac:dyDescent="0.25">
      <c r="A125" s="21">
        <v>525003649</v>
      </c>
      <c r="B125" s="22" t="s">
        <v>3374</v>
      </c>
      <c r="C125" s="10" t="s">
        <v>3375</v>
      </c>
      <c r="D125" s="10" t="s">
        <v>3376</v>
      </c>
      <c r="E125" s="10" t="s">
        <v>3377</v>
      </c>
      <c r="F125" s="25" t="s">
        <v>73</v>
      </c>
      <c r="G125" s="10"/>
      <c r="H125" s="10"/>
      <c r="I125" s="23" t="s">
        <v>1432</v>
      </c>
      <c r="J125" s="223"/>
    </row>
    <row r="126" spans="1:10" s="144" customFormat="1" ht="12.75" x14ac:dyDescent="0.25">
      <c r="A126" s="21">
        <v>525003650</v>
      </c>
      <c r="B126" s="22" t="s">
        <v>1903</v>
      </c>
      <c r="C126" s="10" t="s">
        <v>428</v>
      </c>
      <c r="D126" s="10" t="s">
        <v>427</v>
      </c>
      <c r="E126" s="10" t="s">
        <v>426</v>
      </c>
      <c r="F126" s="25" t="s">
        <v>73</v>
      </c>
      <c r="G126" s="10"/>
      <c r="H126" s="10" t="s">
        <v>307</v>
      </c>
      <c r="I126" s="23" t="s">
        <v>160</v>
      </c>
      <c r="J126" s="223"/>
    </row>
    <row r="127" spans="1:10" s="144" customFormat="1" ht="12.75" x14ac:dyDescent="0.25">
      <c r="A127" s="21">
        <v>525003660</v>
      </c>
      <c r="B127" s="22" t="s">
        <v>968</v>
      </c>
      <c r="C127" s="10">
        <v>186</v>
      </c>
      <c r="D127" s="10">
        <v>25807</v>
      </c>
      <c r="E127" s="10" t="s">
        <v>147</v>
      </c>
      <c r="F127" s="25" t="s">
        <v>73</v>
      </c>
      <c r="G127" s="10"/>
      <c r="H127" s="10"/>
      <c r="I127" s="23" t="s">
        <v>41</v>
      </c>
      <c r="J127" s="223"/>
    </row>
    <row r="128" spans="1:10" s="144" customFormat="1" ht="12.75" x14ac:dyDescent="0.25">
      <c r="A128" s="21">
        <v>525003796</v>
      </c>
      <c r="B128" s="22" t="s">
        <v>93</v>
      </c>
      <c r="C128" s="10">
        <v>73</v>
      </c>
      <c r="D128" s="10">
        <v>1434</v>
      </c>
      <c r="E128" s="10" t="s">
        <v>1110</v>
      </c>
      <c r="F128" s="25" t="s">
        <v>73</v>
      </c>
      <c r="G128" s="10"/>
      <c r="H128" s="10"/>
      <c r="I128" s="23" t="s">
        <v>150</v>
      </c>
      <c r="J128" s="223"/>
    </row>
    <row r="129" spans="1:10" s="144" customFormat="1" ht="12.75" x14ac:dyDescent="0.25">
      <c r="A129" s="21">
        <v>525004010</v>
      </c>
      <c r="B129" s="22" t="s">
        <v>437</v>
      </c>
      <c r="C129" s="10">
        <v>152</v>
      </c>
      <c r="D129" s="10">
        <v>13964</v>
      </c>
      <c r="E129" s="10">
        <v>5</v>
      </c>
      <c r="F129" s="25" t="s">
        <v>73</v>
      </c>
      <c r="G129" s="10"/>
      <c r="H129" s="10" t="s">
        <v>309</v>
      </c>
      <c r="I129" s="23" t="s">
        <v>96</v>
      </c>
      <c r="J129" s="223"/>
    </row>
    <row r="130" spans="1:10" s="144" customFormat="1" ht="12.75" x14ac:dyDescent="0.25">
      <c r="A130" s="21">
        <v>525004015</v>
      </c>
      <c r="B130" s="22" t="s">
        <v>94</v>
      </c>
      <c r="C130" s="10">
        <v>66</v>
      </c>
      <c r="D130" s="25">
        <v>1619</v>
      </c>
      <c r="E130" s="25" t="s">
        <v>95</v>
      </c>
      <c r="F130" s="25" t="s">
        <v>73</v>
      </c>
      <c r="G130" s="10"/>
      <c r="H130" s="10" t="s">
        <v>309</v>
      </c>
      <c r="I130" s="23" t="s">
        <v>96</v>
      </c>
      <c r="J130" s="223"/>
    </row>
    <row r="131" spans="1:10" s="144" customFormat="1" ht="12.75" x14ac:dyDescent="0.25">
      <c r="A131" s="21">
        <v>525004082</v>
      </c>
      <c r="B131" s="46" t="s">
        <v>638</v>
      </c>
      <c r="C131" s="10">
        <v>64</v>
      </c>
      <c r="D131" s="10">
        <v>704</v>
      </c>
      <c r="E131" s="10">
        <v>3.2</v>
      </c>
      <c r="F131" s="25" t="s">
        <v>73</v>
      </c>
      <c r="G131" s="47"/>
      <c r="H131" s="47"/>
      <c r="I131" s="23" t="s">
        <v>245</v>
      </c>
      <c r="J131" s="223"/>
    </row>
    <row r="132" spans="1:10" s="144" customFormat="1" ht="12.75" x14ac:dyDescent="0.25">
      <c r="A132" s="21">
        <v>525004087</v>
      </c>
      <c r="B132" s="22" t="s">
        <v>1011</v>
      </c>
      <c r="C132" s="10" t="s">
        <v>1064</v>
      </c>
      <c r="D132" s="10" t="s">
        <v>1065</v>
      </c>
      <c r="E132" s="10" t="s">
        <v>1066</v>
      </c>
      <c r="F132" s="25" t="s">
        <v>73</v>
      </c>
      <c r="G132" s="10"/>
      <c r="H132" s="10"/>
      <c r="I132" s="23" t="s">
        <v>43</v>
      </c>
      <c r="J132" s="223"/>
    </row>
    <row r="133" spans="1:10" s="144" customFormat="1" ht="12.75" x14ac:dyDescent="0.25">
      <c r="A133" s="21">
        <v>525004090</v>
      </c>
      <c r="B133" s="22" t="s">
        <v>314</v>
      </c>
      <c r="C133" s="10" t="s">
        <v>316</v>
      </c>
      <c r="D133" s="10" t="s">
        <v>317</v>
      </c>
      <c r="E133" s="10" t="s">
        <v>318</v>
      </c>
      <c r="F133" s="25" t="s">
        <v>73</v>
      </c>
      <c r="G133" s="10"/>
      <c r="H133" s="10"/>
      <c r="I133" s="23" t="s">
        <v>92</v>
      </c>
      <c r="J133" s="223"/>
    </row>
    <row r="134" spans="1:10" s="144" customFormat="1" ht="12.75" x14ac:dyDescent="0.25">
      <c r="A134" s="21">
        <v>525005001</v>
      </c>
      <c r="B134" s="37" t="s">
        <v>512</v>
      </c>
      <c r="C134" s="10">
        <v>142</v>
      </c>
      <c r="D134" s="10">
        <v>14581</v>
      </c>
      <c r="E134" s="10">
        <v>5</v>
      </c>
      <c r="F134" s="25" t="s">
        <v>73</v>
      </c>
      <c r="G134" s="38"/>
      <c r="H134" s="38"/>
      <c r="I134" s="39" t="s">
        <v>48</v>
      </c>
      <c r="J134" s="223"/>
    </row>
    <row r="135" spans="1:10" s="144" customFormat="1" ht="12.75" x14ac:dyDescent="0.25">
      <c r="A135" s="21">
        <v>525005097</v>
      </c>
      <c r="B135" s="22" t="s">
        <v>374</v>
      </c>
      <c r="C135" s="10" t="s">
        <v>377</v>
      </c>
      <c r="D135" s="10" t="s">
        <v>378</v>
      </c>
      <c r="E135" s="10" t="s">
        <v>1831</v>
      </c>
      <c r="F135" s="25" t="s">
        <v>73</v>
      </c>
      <c r="G135" s="10"/>
      <c r="H135" s="10" t="s">
        <v>390</v>
      </c>
      <c r="I135" s="23" t="s">
        <v>389</v>
      </c>
      <c r="J135" s="223"/>
    </row>
    <row r="136" spans="1:10" s="144" customFormat="1" ht="12.75" x14ac:dyDescent="0.25">
      <c r="A136" s="21">
        <v>525005098</v>
      </c>
      <c r="B136" s="22" t="s">
        <v>1694</v>
      </c>
      <c r="C136" s="10" t="s">
        <v>657</v>
      </c>
      <c r="D136" s="10" t="s">
        <v>658</v>
      </c>
      <c r="E136" s="10" t="s">
        <v>1711</v>
      </c>
      <c r="F136" s="25" t="s">
        <v>73</v>
      </c>
      <c r="G136" s="47"/>
      <c r="H136" s="10" t="s">
        <v>390</v>
      </c>
      <c r="I136" s="48" t="s">
        <v>389</v>
      </c>
      <c r="J136" s="223"/>
    </row>
    <row r="137" spans="1:10" s="144" customFormat="1" ht="12.75" x14ac:dyDescent="0.25">
      <c r="A137" s="21">
        <v>525005181</v>
      </c>
      <c r="B137" s="22" t="s">
        <v>872</v>
      </c>
      <c r="C137" s="10" t="s">
        <v>873</v>
      </c>
      <c r="D137" s="10" t="s">
        <v>874</v>
      </c>
      <c r="E137" s="10" t="s">
        <v>875</v>
      </c>
      <c r="F137" s="25" t="s">
        <v>73</v>
      </c>
      <c r="G137" s="10"/>
      <c r="H137" s="10"/>
      <c r="I137" s="23" t="s">
        <v>41</v>
      </c>
      <c r="J137" s="223"/>
    </row>
    <row r="138" spans="1:10" s="144" customFormat="1" ht="12.75" x14ac:dyDescent="0.2">
      <c r="A138" s="60">
        <v>525005205</v>
      </c>
      <c r="B138" s="18" t="s">
        <v>1203</v>
      </c>
      <c r="C138" s="7" t="s">
        <v>1204</v>
      </c>
      <c r="D138" s="7" t="s">
        <v>1205</v>
      </c>
      <c r="E138" s="7" t="s">
        <v>1206</v>
      </c>
      <c r="F138" s="10"/>
      <c r="G138" s="7"/>
      <c r="H138" s="7"/>
      <c r="I138" s="7" t="s">
        <v>65</v>
      </c>
      <c r="J138" s="223"/>
    </row>
    <row r="139" spans="1:10" s="144" customFormat="1" ht="12.75" x14ac:dyDescent="0.25">
      <c r="A139" s="17">
        <v>525005396</v>
      </c>
      <c r="B139" s="52" t="s">
        <v>640</v>
      </c>
      <c r="C139" s="7">
        <v>96</v>
      </c>
      <c r="D139" s="7">
        <v>2997</v>
      </c>
      <c r="E139" s="7">
        <v>3.5</v>
      </c>
      <c r="F139" s="25" t="s">
        <v>73</v>
      </c>
      <c r="G139" s="51"/>
      <c r="H139" s="51"/>
      <c r="I139" s="53" t="s">
        <v>145</v>
      </c>
      <c r="J139" s="223"/>
    </row>
    <row r="140" spans="1:10" s="144" customFormat="1" ht="12.75" x14ac:dyDescent="0.25">
      <c r="A140" s="17">
        <v>525005496</v>
      </c>
      <c r="B140" s="52" t="s">
        <v>582</v>
      </c>
      <c r="C140" s="7">
        <v>40</v>
      </c>
      <c r="D140" s="7">
        <v>550</v>
      </c>
      <c r="E140" s="7">
        <v>4</v>
      </c>
      <c r="F140" s="25" t="s">
        <v>73</v>
      </c>
      <c r="G140" s="51"/>
      <c r="H140" s="51"/>
      <c r="I140" s="53" t="s">
        <v>183</v>
      </c>
      <c r="J140" s="223"/>
    </row>
    <row r="141" spans="1:10" s="144" customFormat="1" ht="12.75" x14ac:dyDescent="0.25">
      <c r="A141" s="66">
        <v>525006134</v>
      </c>
      <c r="B141" s="18" t="s">
        <v>97</v>
      </c>
      <c r="C141" s="20">
        <v>54</v>
      </c>
      <c r="D141" s="20">
        <v>738</v>
      </c>
      <c r="E141" s="20" t="s">
        <v>64</v>
      </c>
      <c r="F141" s="25" t="s">
        <v>73</v>
      </c>
      <c r="G141" s="7"/>
      <c r="H141" s="7" t="s">
        <v>309</v>
      </c>
      <c r="I141" s="19" t="s">
        <v>96</v>
      </c>
      <c r="J141" s="223"/>
    </row>
    <row r="142" spans="1:10" s="144" customFormat="1" ht="12.75" x14ac:dyDescent="0.25">
      <c r="A142" s="21">
        <v>525006137</v>
      </c>
      <c r="B142" s="22" t="s">
        <v>798</v>
      </c>
      <c r="C142" s="10" t="s">
        <v>774</v>
      </c>
      <c r="D142" s="10" t="s">
        <v>773</v>
      </c>
      <c r="E142" s="10" t="s">
        <v>772</v>
      </c>
      <c r="F142" s="25" t="s">
        <v>73</v>
      </c>
      <c r="G142" s="10"/>
      <c r="H142" s="10"/>
      <c r="I142" s="23" t="s">
        <v>39</v>
      </c>
      <c r="J142" s="223"/>
    </row>
    <row r="143" spans="1:10" s="144" customFormat="1" ht="12.75" x14ac:dyDescent="0.25">
      <c r="A143" s="21">
        <v>525006160</v>
      </c>
      <c r="B143" s="22" t="s">
        <v>1007</v>
      </c>
      <c r="C143" s="10" t="s">
        <v>1008</v>
      </c>
      <c r="D143" s="10" t="s">
        <v>1009</v>
      </c>
      <c r="E143" s="10" t="s">
        <v>1010</v>
      </c>
      <c r="F143" s="25" t="s">
        <v>73</v>
      </c>
      <c r="G143" s="10"/>
      <c r="H143" s="10"/>
      <c r="I143" s="23" t="s">
        <v>46</v>
      </c>
      <c r="J143" s="223"/>
    </row>
    <row r="144" spans="1:10" s="144" customFormat="1" x14ac:dyDescent="0.25">
      <c r="A144" s="61">
        <v>525006168</v>
      </c>
      <c r="B144" s="62" t="s">
        <v>1042</v>
      </c>
      <c r="C144" s="10" t="s">
        <v>1043</v>
      </c>
      <c r="D144" s="10" t="s">
        <v>1044</v>
      </c>
      <c r="E144" s="10" t="s">
        <v>1045</v>
      </c>
      <c r="F144" s="25" t="s">
        <v>73</v>
      </c>
      <c r="G144" s="10"/>
      <c r="H144" s="10"/>
      <c r="I144" s="23" t="s">
        <v>46</v>
      </c>
      <c r="J144" s="223"/>
    </row>
    <row r="145" spans="1:10" s="144" customFormat="1" ht="12.75" x14ac:dyDescent="0.25">
      <c r="A145" s="21">
        <v>525006279</v>
      </c>
      <c r="B145" s="22" t="s">
        <v>3237</v>
      </c>
      <c r="C145" s="10" t="s">
        <v>3238</v>
      </c>
      <c r="D145" s="10" t="s">
        <v>1704</v>
      </c>
      <c r="E145" s="10" t="s">
        <v>1831</v>
      </c>
      <c r="F145" s="10"/>
      <c r="G145" s="10"/>
      <c r="H145" s="7"/>
      <c r="I145" s="23" t="s">
        <v>46</v>
      </c>
      <c r="J145" s="223"/>
    </row>
    <row r="146" spans="1:10" s="144" customFormat="1" ht="12.75" x14ac:dyDescent="0.25">
      <c r="A146" s="21">
        <v>525006280</v>
      </c>
      <c r="B146" s="22" t="s">
        <v>593</v>
      </c>
      <c r="C146" s="10" t="s">
        <v>1423</v>
      </c>
      <c r="D146" s="10" t="s">
        <v>594</v>
      </c>
      <c r="E146" s="10" t="s">
        <v>595</v>
      </c>
      <c r="F146" s="25" t="s">
        <v>73</v>
      </c>
      <c r="G146" s="10"/>
      <c r="H146" s="10" t="s">
        <v>388</v>
      </c>
      <c r="I146" s="23" t="s">
        <v>46</v>
      </c>
      <c r="J146" s="223"/>
    </row>
    <row r="147" spans="1:10" s="144" customFormat="1" ht="12.75" x14ac:dyDescent="0.25">
      <c r="A147" s="24">
        <v>525006282</v>
      </c>
      <c r="B147" s="22" t="s">
        <v>1237</v>
      </c>
      <c r="C147" s="25">
        <v>97</v>
      </c>
      <c r="D147" s="25">
        <v>1944</v>
      </c>
      <c r="E147" s="25" t="s">
        <v>1103</v>
      </c>
      <c r="F147" s="25" t="s">
        <v>73</v>
      </c>
      <c r="G147" s="10"/>
      <c r="H147" s="10"/>
      <c r="I147" s="26" t="s">
        <v>39</v>
      </c>
      <c r="J147" s="223"/>
    </row>
    <row r="148" spans="1:10" s="144" customFormat="1" ht="12.75" x14ac:dyDescent="0.25">
      <c r="A148" s="21">
        <v>525006326</v>
      </c>
      <c r="B148" s="22" t="s">
        <v>413</v>
      </c>
      <c r="C148" s="10" t="s">
        <v>1067</v>
      </c>
      <c r="D148" s="10" t="s">
        <v>1068</v>
      </c>
      <c r="E148" s="10" t="s">
        <v>1069</v>
      </c>
      <c r="F148" s="25" t="s">
        <v>73</v>
      </c>
      <c r="G148" s="10"/>
      <c r="H148" s="10" t="s">
        <v>309</v>
      </c>
      <c r="I148" s="23" t="s">
        <v>96</v>
      </c>
      <c r="J148" s="223"/>
    </row>
    <row r="149" spans="1:10" s="144" customFormat="1" ht="12.75" x14ac:dyDescent="0.25">
      <c r="A149" s="21">
        <v>525006333</v>
      </c>
      <c r="B149" s="22" t="s">
        <v>882</v>
      </c>
      <c r="C149" s="10" t="s">
        <v>883</v>
      </c>
      <c r="D149" s="10" t="s">
        <v>884</v>
      </c>
      <c r="E149" s="10" t="s">
        <v>885</v>
      </c>
      <c r="F149" s="25" t="s">
        <v>73</v>
      </c>
      <c r="G149" s="10"/>
      <c r="H149" s="10"/>
      <c r="I149" s="23" t="s">
        <v>46</v>
      </c>
      <c r="J149" s="223"/>
    </row>
    <row r="150" spans="1:10" s="144" customFormat="1" ht="12.75" x14ac:dyDescent="0.2">
      <c r="A150" s="61">
        <v>525006335</v>
      </c>
      <c r="B150" s="22" t="s">
        <v>3544</v>
      </c>
      <c r="C150" s="10" t="s">
        <v>1166</v>
      </c>
      <c r="D150" s="10" t="s">
        <v>1044</v>
      </c>
      <c r="E150" s="25" t="s">
        <v>3545</v>
      </c>
      <c r="F150" s="10"/>
      <c r="G150" s="10"/>
      <c r="H150" s="10"/>
      <c r="I150" s="23" t="s">
        <v>1432</v>
      </c>
      <c r="J150" s="223"/>
    </row>
    <row r="151" spans="1:10" s="144" customFormat="1" ht="12.75" x14ac:dyDescent="0.25">
      <c r="A151" s="21">
        <v>525006397</v>
      </c>
      <c r="B151" s="22" t="s">
        <v>1023</v>
      </c>
      <c r="C151" s="10" t="s">
        <v>1024</v>
      </c>
      <c r="D151" s="10" t="s">
        <v>1025</v>
      </c>
      <c r="E151" s="10" t="s">
        <v>507</v>
      </c>
      <c r="F151" s="25" t="s">
        <v>73</v>
      </c>
      <c r="G151" s="10"/>
      <c r="H151" s="10"/>
      <c r="I151" s="23" t="s">
        <v>245</v>
      </c>
      <c r="J151" s="223"/>
    </row>
    <row r="152" spans="1:10" s="144" customFormat="1" ht="12.75" x14ac:dyDescent="0.25">
      <c r="A152" s="24">
        <v>525006408</v>
      </c>
      <c r="B152" s="22" t="s">
        <v>295</v>
      </c>
      <c r="C152" s="25" t="s">
        <v>296</v>
      </c>
      <c r="D152" s="25" t="s">
        <v>297</v>
      </c>
      <c r="E152" s="25" t="s">
        <v>298</v>
      </c>
      <c r="F152" s="25" t="s">
        <v>73</v>
      </c>
      <c r="G152" s="10"/>
      <c r="H152" s="10"/>
      <c r="I152" s="26" t="s">
        <v>247</v>
      </c>
      <c r="J152" s="223"/>
    </row>
    <row r="153" spans="1:10" s="144" customFormat="1" ht="12.75" x14ac:dyDescent="0.25">
      <c r="A153" s="21">
        <v>525007024</v>
      </c>
      <c r="B153" s="22" t="s">
        <v>1602</v>
      </c>
      <c r="C153" s="25" t="s">
        <v>1714</v>
      </c>
      <c r="D153" s="25" t="s">
        <v>1715</v>
      </c>
      <c r="E153" s="25" t="s">
        <v>644</v>
      </c>
      <c r="F153" s="25" t="s">
        <v>73</v>
      </c>
      <c r="G153" s="47"/>
      <c r="H153" s="47"/>
      <c r="I153" s="50" t="s">
        <v>39</v>
      </c>
      <c r="J153" s="223"/>
    </row>
    <row r="154" spans="1:10" s="144" customFormat="1" ht="12.75" x14ac:dyDescent="0.25">
      <c r="A154" s="21">
        <v>525007055</v>
      </c>
      <c r="B154" s="22" t="s">
        <v>508</v>
      </c>
      <c r="C154" s="10" t="s">
        <v>505</v>
      </c>
      <c r="D154" s="10" t="s">
        <v>506</v>
      </c>
      <c r="E154" s="10" t="s">
        <v>507</v>
      </c>
      <c r="F154" s="25" t="s">
        <v>73</v>
      </c>
      <c r="G154" s="10"/>
      <c r="H154" s="10"/>
      <c r="I154" s="23" t="s">
        <v>258</v>
      </c>
      <c r="J154" s="223"/>
    </row>
    <row r="155" spans="1:10" s="144" customFormat="1" ht="12.75" x14ac:dyDescent="0.25">
      <c r="A155" s="7">
        <v>525007062</v>
      </c>
      <c r="B155" s="22" t="s">
        <v>976</v>
      </c>
      <c r="C155" s="10" t="s">
        <v>434</v>
      </c>
      <c r="D155" s="10" t="s">
        <v>977</v>
      </c>
      <c r="E155" s="10" t="s">
        <v>978</v>
      </c>
      <c r="F155" s="25" t="s">
        <v>73</v>
      </c>
      <c r="G155" s="10"/>
      <c r="H155" s="10"/>
      <c r="I155" s="23" t="s">
        <v>46</v>
      </c>
      <c r="J155" s="223"/>
    </row>
    <row r="156" spans="1:10" s="144" customFormat="1" ht="12.75" x14ac:dyDescent="0.25">
      <c r="A156" s="21">
        <v>525007083</v>
      </c>
      <c r="B156" s="46" t="s">
        <v>675</v>
      </c>
      <c r="C156" s="10" t="s">
        <v>676</v>
      </c>
      <c r="D156" s="10" t="s">
        <v>677</v>
      </c>
      <c r="E156" s="10" t="s">
        <v>678</v>
      </c>
      <c r="F156" s="25" t="s">
        <v>73</v>
      </c>
      <c r="G156" s="47"/>
      <c r="H156" s="25" t="s">
        <v>58</v>
      </c>
      <c r="I156" s="48" t="s">
        <v>41</v>
      </c>
      <c r="J156" s="223"/>
    </row>
    <row r="157" spans="1:10" s="144" customFormat="1" ht="12.75" x14ac:dyDescent="0.25">
      <c r="A157" s="21">
        <v>525007134</v>
      </c>
      <c r="B157" s="22" t="s">
        <v>1761</v>
      </c>
      <c r="C157" s="10" t="s">
        <v>627</v>
      </c>
      <c r="D157" s="10" t="s">
        <v>628</v>
      </c>
      <c r="E157" s="10" t="s">
        <v>1762</v>
      </c>
      <c r="F157" s="25" t="s">
        <v>73</v>
      </c>
      <c r="G157" s="38"/>
      <c r="H157" s="25" t="s">
        <v>388</v>
      </c>
      <c r="I157" s="23" t="s">
        <v>46</v>
      </c>
      <c r="J157" s="223"/>
    </row>
    <row r="158" spans="1:10" s="144" customFormat="1" ht="12.75" x14ac:dyDescent="0.25">
      <c r="A158" s="21">
        <v>525007172</v>
      </c>
      <c r="B158" s="22" t="s">
        <v>215</v>
      </c>
      <c r="C158" s="25" t="s">
        <v>216</v>
      </c>
      <c r="D158" s="25" t="s">
        <v>217</v>
      </c>
      <c r="E158" s="25" t="s">
        <v>218</v>
      </c>
      <c r="F158" s="25" t="s">
        <v>73</v>
      </c>
      <c r="G158" s="25"/>
      <c r="H158" s="25" t="s">
        <v>388</v>
      </c>
      <c r="I158" s="26" t="s">
        <v>46</v>
      </c>
      <c r="J158" s="223"/>
    </row>
    <row r="159" spans="1:10" s="144" customFormat="1" ht="12.75" x14ac:dyDescent="0.25">
      <c r="A159" s="24">
        <v>525007177</v>
      </c>
      <c r="B159" s="22" t="s">
        <v>98</v>
      </c>
      <c r="C159" s="25">
        <v>109</v>
      </c>
      <c r="D159" s="27">
        <v>5846</v>
      </c>
      <c r="E159" s="25" t="s">
        <v>99</v>
      </c>
      <c r="F159" s="25" t="s">
        <v>73</v>
      </c>
      <c r="G159" s="25" t="s">
        <v>277</v>
      </c>
      <c r="H159" s="25" t="s">
        <v>388</v>
      </c>
      <c r="I159" s="26" t="s">
        <v>46</v>
      </c>
      <c r="J159" s="223"/>
    </row>
    <row r="160" spans="1:10" s="144" customFormat="1" ht="12.75" x14ac:dyDescent="0.25">
      <c r="A160" s="24">
        <v>525007178</v>
      </c>
      <c r="B160" s="22" t="s">
        <v>100</v>
      </c>
      <c r="C160" s="25">
        <v>106</v>
      </c>
      <c r="D160" s="27">
        <v>5846</v>
      </c>
      <c r="E160" s="25" t="s">
        <v>1754</v>
      </c>
      <c r="F160" s="25" t="s">
        <v>73</v>
      </c>
      <c r="G160" s="25" t="s">
        <v>277</v>
      </c>
      <c r="H160" s="25" t="s">
        <v>388</v>
      </c>
      <c r="I160" s="26" t="s">
        <v>46</v>
      </c>
      <c r="J160" s="223"/>
    </row>
    <row r="161" spans="1:10" s="144" customFormat="1" ht="12.75" x14ac:dyDescent="0.25">
      <c r="A161" s="24">
        <v>525007179</v>
      </c>
      <c r="B161" s="22" t="s">
        <v>102</v>
      </c>
      <c r="C161" s="25">
        <v>105</v>
      </c>
      <c r="D161" s="25">
        <v>5482</v>
      </c>
      <c r="E161" s="25" t="s">
        <v>1754</v>
      </c>
      <c r="F161" s="25" t="s">
        <v>73</v>
      </c>
      <c r="G161" s="10" t="s">
        <v>277</v>
      </c>
      <c r="H161" s="25" t="s">
        <v>388</v>
      </c>
      <c r="I161" s="26" t="s">
        <v>46</v>
      </c>
      <c r="J161" s="223"/>
    </row>
    <row r="162" spans="1:10" s="144" customFormat="1" ht="12.75" x14ac:dyDescent="0.25">
      <c r="A162" s="21">
        <v>525007223</v>
      </c>
      <c r="B162" s="37" t="s">
        <v>558</v>
      </c>
      <c r="C162" s="10" t="s">
        <v>724</v>
      </c>
      <c r="D162" s="10" t="s">
        <v>275</v>
      </c>
      <c r="E162" s="10" t="s">
        <v>1775</v>
      </c>
      <c r="F162" s="25" t="s">
        <v>73</v>
      </c>
      <c r="G162" s="38"/>
      <c r="H162" s="38"/>
      <c r="I162" s="26" t="s">
        <v>46</v>
      </c>
      <c r="J162" s="223"/>
    </row>
    <row r="163" spans="1:10" s="144" customFormat="1" ht="12.75" x14ac:dyDescent="0.25">
      <c r="A163" s="21">
        <v>525007247</v>
      </c>
      <c r="B163" s="22" t="s">
        <v>949</v>
      </c>
      <c r="C163" s="10">
        <v>112</v>
      </c>
      <c r="D163" s="10">
        <v>5483</v>
      </c>
      <c r="E163" s="10" t="s">
        <v>851</v>
      </c>
      <c r="F163" s="25" t="s">
        <v>73</v>
      </c>
      <c r="G163" s="10"/>
      <c r="H163" s="10"/>
      <c r="I163" s="23" t="s">
        <v>47</v>
      </c>
      <c r="J163" s="223"/>
    </row>
    <row r="164" spans="1:10" s="144" customFormat="1" ht="12.75" x14ac:dyDescent="0.25">
      <c r="A164" s="21">
        <v>525007260</v>
      </c>
      <c r="B164" s="46" t="s">
        <v>804</v>
      </c>
      <c r="C164" s="25" t="s">
        <v>805</v>
      </c>
      <c r="D164" s="25" t="s">
        <v>806</v>
      </c>
      <c r="E164" s="25" t="s">
        <v>807</v>
      </c>
      <c r="F164" s="25" t="s">
        <v>73</v>
      </c>
      <c r="G164" s="47"/>
      <c r="H164" s="47"/>
      <c r="I164" s="50" t="s">
        <v>46</v>
      </c>
      <c r="J164" s="223"/>
    </row>
    <row r="165" spans="1:10" s="144" customFormat="1" ht="12.75" x14ac:dyDescent="0.25">
      <c r="A165" s="21">
        <v>525007280</v>
      </c>
      <c r="B165" s="22" t="s">
        <v>1003</v>
      </c>
      <c r="C165" s="10" t="s">
        <v>1004</v>
      </c>
      <c r="D165" s="10" t="s">
        <v>1005</v>
      </c>
      <c r="E165" s="10" t="s">
        <v>1006</v>
      </c>
      <c r="F165" s="25" t="s">
        <v>73</v>
      </c>
      <c r="G165" s="10"/>
      <c r="H165" s="10"/>
      <c r="I165" s="23" t="s">
        <v>46</v>
      </c>
      <c r="J165" s="223"/>
    </row>
    <row r="166" spans="1:10" s="144" customFormat="1" ht="12.75" x14ac:dyDescent="0.25">
      <c r="A166" s="24">
        <v>525007286</v>
      </c>
      <c r="B166" s="22" t="s">
        <v>227</v>
      </c>
      <c r="C166" s="25" t="s">
        <v>228</v>
      </c>
      <c r="D166" s="25" t="s">
        <v>229</v>
      </c>
      <c r="E166" s="25" t="s">
        <v>230</v>
      </c>
      <c r="F166" s="25" t="s">
        <v>73</v>
      </c>
      <c r="G166" s="10"/>
      <c r="H166" s="10"/>
      <c r="I166" s="26" t="s">
        <v>231</v>
      </c>
      <c r="J166" s="223"/>
    </row>
    <row r="167" spans="1:10" s="144" customFormat="1" ht="12.75" x14ac:dyDescent="0.25">
      <c r="A167" s="21">
        <v>525007740</v>
      </c>
      <c r="B167" s="22" t="s">
        <v>103</v>
      </c>
      <c r="C167" s="10">
        <v>50</v>
      </c>
      <c r="D167" s="10">
        <v>883</v>
      </c>
      <c r="E167" s="10">
        <v>3.1</v>
      </c>
      <c r="F167" s="25" t="s">
        <v>73</v>
      </c>
      <c r="G167" s="10"/>
      <c r="H167" s="10" t="s">
        <v>307</v>
      </c>
      <c r="I167" s="23" t="s">
        <v>310</v>
      </c>
      <c r="J167" s="223"/>
    </row>
    <row r="168" spans="1:10" s="144" customFormat="1" ht="12.75" x14ac:dyDescent="0.25">
      <c r="A168" s="21">
        <v>525008013</v>
      </c>
      <c r="B168" s="22" t="s">
        <v>322</v>
      </c>
      <c r="C168" s="10">
        <v>148</v>
      </c>
      <c r="D168" s="10">
        <v>11586</v>
      </c>
      <c r="E168" s="10">
        <v>6.9</v>
      </c>
      <c r="F168" s="25" t="s">
        <v>73</v>
      </c>
      <c r="G168" s="10"/>
      <c r="H168" s="10" t="s">
        <v>309</v>
      </c>
      <c r="I168" s="23" t="s">
        <v>96</v>
      </c>
      <c r="J168" s="223"/>
    </row>
    <row r="169" spans="1:10" s="144" customFormat="1" ht="12.75" x14ac:dyDescent="0.25">
      <c r="A169" s="21">
        <v>525008043</v>
      </c>
      <c r="B169" s="22" t="s">
        <v>493</v>
      </c>
      <c r="C169" s="10">
        <v>90</v>
      </c>
      <c r="D169" s="10">
        <v>2965</v>
      </c>
      <c r="E169" s="10" t="s">
        <v>99</v>
      </c>
      <c r="F169" s="25" t="s">
        <v>73</v>
      </c>
      <c r="G169" s="10"/>
      <c r="H169" s="10" t="s">
        <v>309</v>
      </c>
      <c r="I169" s="23" t="s">
        <v>96</v>
      </c>
      <c r="J169" s="223"/>
    </row>
    <row r="170" spans="1:10" s="144" customFormat="1" ht="12.75" x14ac:dyDescent="0.25">
      <c r="A170" s="21">
        <v>525008044</v>
      </c>
      <c r="B170" s="22" t="s">
        <v>1236</v>
      </c>
      <c r="C170" s="10">
        <v>168</v>
      </c>
      <c r="D170" s="10">
        <v>14262</v>
      </c>
      <c r="E170" s="10" t="s">
        <v>178</v>
      </c>
      <c r="F170" s="25" t="s">
        <v>73</v>
      </c>
      <c r="G170" s="47"/>
      <c r="H170" s="10" t="s">
        <v>309</v>
      </c>
      <c r="I170" s="48" t="s">
        <v>96</v>
      </c>
      <c r="J170" s="223"/>
    </row>
    <row r="171" spans="1:10" s="144" customFormat="1" ht="12.75" x14ac:dyDescent="0.25">
      <c r="A171" s="21">
        <v>525008071</v>
      </c>
      <c r="B171" s="22" t="s">
        <v>323</v>
      </c>
      <c r="C171" s="25">
        <v>158</v>
      </c>
      <c r="D171" s="25">
        <v>18006</v>
      </c>
      <c r="E171" s="25" t="s">
        <v>104</v>
      </c>
      <c r="F171" s="25" t="s">
        <v>73</v>
      </c>
      <c r="G171" s="10"/>
      <c r="H171" s="10" t="s">
        <v>309</v>
      </c>
      <c r="I171" s="48" t="s">
        <v>96</v>
      </c>
      <c r="J171" s="223"/>
    </row>
    <row r="172" spans="1:10" s="144" customFormat="1" ht="12.75" x14ac:dyDescent="0.25">
      <c r="A172" s="21">
        <v>525009072</v>
      </c>
      <c r="B172" s="46" t="s">
        <v>600</v>
      </c>
      <c r="C172" s="10">
        <v>84</v>
      </c>
      <c r="D172" s="10">
        <v>1825</v>
      </c>
      <c r="E172" s="10">
        <v>4.5</v>
      </c>
      <c r="F172" s="25" t="s">
        <v>73</v>
      </c>
      <c r="G172" s="47"/>
      <c r="H172" s="47"/>
      <c r="I172" s="48" t="s">
        <v>145</v>
      </c>
      <c r="J172" s="223"/>
    </row>
    <row r="173" spans="1:10" s="144" customFormat="1" ht="12.75" x14ac:dyDescent="0.25">
      <c r="A173" s="21">
        <v>525009077</v>
      </c>
      <c r="B173" s="22" t="s">
        <v>371</v>
      </c>
      <c r="C173" s="10">
        <v>88</v>
      </c>
      <c r="D173" s="10">
        <v>2888</v>
      </c>
      <c r="E173" s="10">
        <v>4.2</v>
      </c>
      <c r="F173" s="25" t="s">
        <v>73</v>
      </c>
      <c r="G173" s="10"/>
      <c r="H173" s="10" t="s">
        <v>76</v>
      </c>
      <c r="I173" s="23" t="s">
        <v>71</v>
      </c>
      <c r="J173" s="223"/>
    </row>
    <row r="174" spans="1:10" s="144" customFormat="1" ht="12.75" x14ac:dyDescent="0.25">
      <c r="A174" s="21">
        <v>525009187</v>
      </c>
      <c r="B174" s="22" t="s">
        <v>990</v>
      </c>
      <c r="C174" s="10" t="s">
        <v>991</v>
      </c>
      <c r="D174" s="10" t="s">
        <v>992</v>
      </c>
      <c r="E174" s="10" t="s">
        <v>993</v>
      </c>
      <c r="F174" s="25" t="s">
        <v>73</v>
      </c>
      <c r="G174" s="10"/>
      <c r="H174" s="10"/>
      <c r="I174" s="23" t="s">
        <v>245</v>
      </c>
      <c r="J174" s="223"/>
    </row>
    <row r="175" spans="1:10" s="144" customFormat="1" ht="12.75" x14ac:dyDescent="0.25">
      <c r="A175" s="21">
        <v>525009300</v>
      </c>
      <c r="B175" s="22" t="s">
        <v>3090</v>
      </c>
      <c r="C175" s="10" t="s">
        <v>1425</v>
      </c>
      <c r="D175" s="10" t="s">
        <v>290</v>
      </c>
      <c r="E175" s="10" t="s">
        <v>3546</v>
      </c>
      <c r="F175" s="25" t="s">
        <v>73</v>
      </c>
      <c r="G175" s="10"/>
      <c r="H175" s="10" t="s">
        <v>309</v>
      </c>
      <c r="I175" s="23" t="s">
        <v>96</v>
      </c>
      <c r="J175" s="223"/>
    </row>
    <row r="176" spans="1:10" s="144" customFormat="1" ht="12.75" x14ac:dyDescent="0.25">
      <c r="A176" s="21">
        <v>525009332</v>
      </c>
      <c r="B176" s="22" t="s">
        <v>105</v>
      </c>
      <c r="C176" s="25">
        <v>100</v>
      </c>
      <c r="D176" s="25">
        <v>4017</v>
      </c>
      <c r="E176" s="25" t="s">
        <v>106</v>
      </c>
      <c r="F176" s="25" t="s">
        <v>73</v>
      </c>
      <c r="G176" s="10"/>
      <c r="H176" s="10" t="s">
        <v>309</v>
      </c>
      <c r="I176" s="23" t="s">
        <v>96</v>
      </c>
      <c r="J176" s="223"/>
    </row>
    <row r="177" spans="1:10" s="144" customFormat="1" ht="12.75" x14ac:dyDescent="0.25">
      <c r="A177" s="21">
        <v>525010063</v>
      </c>
      <c r="B177" s="22" t="s">
        <v>3187</v>
      </c>
      <c r="C177" s="10" t="s">
        <v>3188</v>
      </c>
      <c r="D177" s="10" t="s">
        <v>3189</v>
      </c>
      <c r="E177" s="10" t="s">
        <v>2596</v>
      </c>
      <c r="F177" s="25" t="s">
        <v>73</v>
      </c>
      <c r="G177" s="10"/>
      <c r="H177" s="10" t="s">
        <v>395</v>
      </c>
      <c r="I177" s="23" t="s">
        <v>353</v>
      </c>
      <c r="J177" s="223"/>
    </row>
    <row r="178" spans="1:10" s="144" customFormat="1" ht="12.75" x14ac:dyDescent="0.25">
      <c r="A178" s="21">
        <v>525010075</v>
      </c>
      <c r="B178" s="22" t="s">
        <v>5405</v>
      </c>
      <c r="C178" s="10" t="s">
        <v>501</v>
      </c>
      <c r="D178" s="10" t="s">
        <v>238</v>
      </c>
      <c r="E178" s="10" t="s">
        <v>502</v>
      </c>
      <c r="F178" s="25" t="s">
        <v>73</v>
      </c>
      <c r="G178" s="10"/>
      <c r="H178" s="10"/>
      <c r="I178" s="23" t="s">
        <v>160</v>
      </c>
      <c r="J178" s="223"/>
    </row>
    <row r="179" spans="1:10" s="144" customFormat="1" ht="12.75" x14ac:dyDescent="0.25">
      <c r="A179" s="24">
        <v>525010076</v>
      </c>
      <c r="B179" s="22" t="s">
        <v>236</v>
      </c>
      <c r="C179" s="25" t="s">
        <v>237</v>
      </c>
      <c r="D179" s="25" t="s">
        <v>238</v>
      </c>
      <c r="E179" s="25" t="s">
        <v>239</v>
      </c>
      <c r="F179" s="25" t="s">
        <v>73</v>
      </c>
      <c r="G179" s="10"/>
      <c r="H179" s="10" t="s">
        <v>58</v>
      </c>
      <c r="I179" s="26" t="s">
        <v>92</v>
      </c>
      <c r="J179" s="223"/>
    </row>
    <row r="180" spans="1:10" s="144" customFormat="1" ht="12.75" x14ac:dyDescent="0.25">
      <c r="A180" s="21">
        <v>525006309</v>
      </c>
      <c r="B180" s="22" t="s">
        <v>107</v>
      </c>
      <c r="C180" s="10">
        <v>73.05</v>
      </c>
      <c r="D180" s="35">
        <v>1419</v>
      </c>
      <c r="E180" s="10">
        <v>4.9000000000000004</v>
      </c>
      <c r="F180" s="25" t="s">
        <v>73</v>
      </c>
      <c r="G180" s="10"/>
      <c r="H180" s="10" t="s">
        <v>307</v>
      </c>
      <c r="I180" s="23" t="s">
        <v>39</v>
      </c>
      <c r="J180" s="223"/>
    </row>
    <row r="181" spans="1:10" s="144" customFormat="1" ht="12.75" x14ac:dyDescent="0.25">
      <c r="A181" s="21">
        <v>525010280</v>
      </c>
      <c r="B181" s="22" t="s">
        <v>415</v>
      </c>
      <c r="C181" s="10">
        <v>75</v>
      </c>
      <c r="D181" s="10">
        <v>1116</v>
      </c>
      <c r="E181" s="10" t="s">
        <v>109</v>
      </c>
      <c r="F181" s="25" t="s">
        <v>73</v>
      </c>
      <c r="G181" s="10"/>
      <c r="H181" s="10" t="s">
        <v>307</v>
      </c>
      <c r="I181" s="23" t="s">
        <v>39</v>
      </c>
      <c r="J181" s="223"/>
    </row>
    <row r="182" spans="1:10" s="144" customFormat="1" ht="12.75" x14ac:dyDescent="0.25">
      <c r="A182" s="24">
        <v>525010322</v>
      </c>
      <c r="B182" s="22" t="s">
        <v>108</v>
      </c>
      <c r="C182" s="25">
        <v>60</v>
      </c>
      <c r="D182" s="25">
        <v>1148</v>
      </c>
      <c r="E182" s="25" t="s">
        <v>1660</v>
      </c>
      <c r="F182" s="25" t="s">
        <v>73</v>
      </c>
      <c r="G182" s="10"/>
      <c r="H182" s="10" t="s">
        <v>309</v>
      </c>
      <c r="I182" s="26" t="s">
        <v>96</v>
      </c>
      <c r="J182" s="223"/>
    </row>
    <row r="183" spans="1:10" s="144" customFormat="1" ht="12.75" x14ac:dyDescent="0.25">
      <c r="A183" s="24">
        <v>525010327</v>
      </c>
      <c r="B183" s="22" t="s">
        <v>110</v>
      </c>
      <c r="C183" s="25">
        <v>82</v>
      </c>
      <c r="D183" s="27">
        <v>1997</v>
      </c>
      <c r="E183" s="25" t="s">
        <v>126</v>
      </c>
      <c r="F183" s="25" t="s">
        <v>73</v>
      </c>
      <c r="G183" s="10"/>
      <c r="H183" s="10" t="s">
        <v>309</v>
      </c>
      <c r="I183" s="26" t="s">
        <v>96</v>
      </c>
      <c r="J183" s="223"/>
    </row>
    <row r="184" spans="1:10" s="144" customFormat="1" ht="12.75" x14ac:dyDescent="0.25">
      <c r="A184" s="21">
        <v>525010370</v>
      </c>
      <c r="B184" s="46" t="s">
        <v>748</v>
      </c>
      <c r="C184" s="10" t="s">
        <v>749</v>
      </c>
      <c r="D184" s="10" t="s">
        <v>750</v>
      </c>
      <c r="E184" s="10" t="s">
        <v>751</v>
      </c>
      <c r="F184" s="25" t="s">
        <v>73</v>
      </c>
      <c r="G184" s="47"/>
      <c r="H184" s="10" t="s">
        <v>309</v>
      </c>
      <c r="I184" s="48" t="s">
        <v>96</v>
      </c>
      <c r="J184" s="223"/>
    </row>
    <row r="185" spans="1:10" s="144" customFormat="1" ht="12.75" x14ac:dyDescent="0.25">
      <c r="A185" s="21">
        <v>525010370</v>
      </c>
      <c r="B185" s="46" t="s">
        <v>663</v>
      </c>
      <c r="C185" s="10">
        <v>76</v>
      </c>
      <c r="D185" s="10">
        <v>1402</v>
      </c>
      <c r="E185" s="10">
        <v>3.3</v>
      </c>
      <c r="F185" s="25" t="s">
        <v>73</v>
      </c>
      <c r="G185" s="47"/>
      <c r="H185" s="47"/>
      <c r="I185" s="48" t="s">
        <v>39</v>
      </c>
      <c r="J185" s="223"/>
    </row>
    <row r="186" spans="1:10" s="144" customFormat="1" ht="12.75" x14ac:dyDescent="0.25">
      <c r="A186" s="21">
        <v>525010392</v>
      </c>
      <c r="B186" s="22" t="s">
        <v>939</v>
      </c>
      <c r="C186" s="10" t="s">
        <v>936</v>
      </c>
      <c r="D186" s="10" t="s">
        <v>937</v>
      </c>
      <c r="E186" s="10" t="s">
        <v>938</v>
      </c>
      <c r="F186" s="25" t="s">
        <v>73</v>
      </c>
      <c r="G186" s="10"/>
      <c r="H186" s="10"/>
      <c r="I186" s="23" t="s">
        <v>353</v>
      </c>
      <c r="J186" s="223"/>
    </row>
    <row r="187" spans="1:10" s="144" customFormat="1" ht="12.75" x14ac:dyDescent="0.25">
      <c r="A187" s="21">
        <v>525010400</v>
      </c>
      <c r="B187" s="22" t="s">
        <v>484</v>
      </c>
      <c r="C187" s="10" t="s">
        <v>2422</v>
      </c>
      <c r="D187" s="10" t="s">
        <v>485</v>
      </c>
      <c r="E187" s="10" t="s">
        <v>3844</v>
      </c>
      <c r="F187" s="25" t="s">
        <v>73</v>
      </c>
      <c r="G187" s="38"/>
      <c r="H187" s="38"/>
      <c r="I187" s="23" t="s">
        <v>39</v>
      </c>
      <c r="J187" s="223"/>
    </row>
    <row r="188" spans="1:10" s="144" customFormat="1" ht="12.75" x14ac:dyDescent="0.25">
      <c r="A188" s="21">
        <v>525010410</v>
      </c>
      <c r="B188" s="22" t="s">
        <v>111</v>
      </c>
      <c r="C188" s="10">
        <v>109</v>
      </c>
      <c r="D188" s="10">
        <v>4198</v>
      </c>
      <c r="E188" s="10" t="s">
        <v>112</v>
      </c>
      <c r="F188" s="25" t="s">
        <v>73</v>
      </c>
      <c r="G188" s="10"/>
      <c r="H188" s="10" t="s">
        <v>309</v>
      </c>
      <c r="I188" s="23" t="s">
        <v>96</v>
      </c>
      <c r="J188" s="223"/>
    </row>
    <row r="189" spans="1:10" s="144" customFormat="1" ht="12.75" x14ac:dyDescent="0.25">
      <c r="A189" s="21">
        <v>525011074</v>
      </c>
      <c r="B189" s="22" t="s">
        <v>1843</v>
      </c>
      <c r="C189" s="7" t="s">
        <v>1421</v>
      </c>
      <c r="D189" s="7" t="s">
        <v>1422</v>
      </c>
      <c r="E189" s="10" t="s">
        <v>379</v>
      </c>
      <c r="F189" s="10"/>
      <c r="G189" s="10"/>
      <c r="H189" s="10"/>
      <c r="I189" s="23" t="s">
        <v>46</v>
      </c>
      <c r="J189" s="223"/>
    </row>
    <row r="190" spans="1:10" s="144" customFormat="1" ht="12.75" x14ac:dyDescent="0.25">
      <c r="A190" s="24">
        <v>525012002</v>
      </c>
      <c r="B190" s="22" t="s">
        <v>113</v>
      </c>
      <c r="C190" s="25">
        <v>149</v>
      </c>
      <c r="D190" s="27">
        <v>12416</v>
      </c>
      <c r="E190" s="25" t="s">
        <v>1061</v>
      </c>
      <c r="F190" s="25" t="s">
        <v>73</v>
      </c>
      <c r="G190" s="25" t="s">
        <v>287</v>
      </c>
      <c r="H190" s="25" t="s">
        <v>392</v>
      </c>
      <c r="I190" s="26" t="s">
        <v>249</v>
      </c>
      <c r="J190" s="223"/>
    </row>
    <row r="191" spans="1:10" s="144" customFormat="1" ht="12.75" x14ac:dyDescent="0.25">
      <c r="A191" s="21">
        <v>525012038</v>
      </c>
      <c r="B191" s="22" t="s">
        <v>115</v>
      </c>
      <c r="C191" s="10">
        <v>104</v>
      </c>
      <c r="D191" s="10">
        <v>5176</v>
      </c>
      <c r="E191" s="10" t="s">
        <v>902</v>
      </c>
      <c r="F191" s="25" t="s">
        <v>73</v>
      </c>
      <c r="G191" s="10"/>
      <c r="H191" s="10" t="s">
        <v>309</v>
      </c>
      <c r="I191" s="23" t="s">
        <v>96</v>
      </c>
      <c r="J191" s="223"/>
    </row>
    <row r="192" spans="1:10" s="144" customFormat="1" ht="12.75" x14ac:dyDescent="0.25">
      <c r="A192" s="21">
        <v>525012070</v>
      </c>
      <c r="B192" s="37" t="s">
        <v>459</v>
      </c>
      <c r="C192" s="10" t="s">
        <v>461</v>
      </c>
      <c r="D192" s="10" t="s">
        <v>462</v>
      </c>
      <c r="E192" s="10" t="s">
        <v>463</v>
      </c>
      <c r="F192" s="25" t="s">
        <v>73</v>
      </c>
      <c r="G192" s="38"/>
      <c r="H192" s="38"/>
      <c r="I192" s="39" t="s">
        <v>39</v>
      </c>
      <c r="J192" s="223"/>
    </row>
    <row r="193" spans="1:10" s="144" customFormat="1" ht="12.75" x14ac:dyDescent="0.25">
      <c r="A193" s="21">
        <v>525012071</v>
      </c>
      <c r="B193" s="22" t="s">
        <v>2529</v>
      </c>
      <c r="C193" s="10" t="s">
        <v>653</v>
      </c>
      <c r="D193" s="10" t="s">
        <v>654</v>
      </c>
      <c r="E193" s="10" t="s">
        <v>655</v>
      </c>
      <c r="F193" s="25" t="s">
        <v>73</v>
      </c>
      <c r="G193" s="47"/>
      <c r="H193" s="47"/>
      <c r="I193" s="23" t="s">
        <v>41</v>
      </c>
      <c r="J193" s="223"/>
    </row>
    <row r="194" spans="1:10" s="144" customFormat="1" ht="12.75" x14ac:dyDescent="0.25">
      <c r="A194" s="21">
        <v>525012086</v>
      </c>
      <c r="B194" s="22" t="s">
        <v>1112</v>
      </c>
      <c r="C194" s="10" t="s">
        <v>1113</v>
      </c>
      <c r="D194" s="10" t="s">
        <v>1114</v>
      </c>
      <c r="E194" s="10" t="s">
        <v>1094</v>
      </c>
      <c r="F194" s="25" t="s">
        <v>73</v>
      </c>
      <c r="G194" s="10"/>
      <c r="H194" s="10"/>
      <c r="I194" s="23" t="s">
        <v>92</v>
      </c>
      <c r="J194" s="223"/>
    </row>
    <row r="195" spans="1:10" s="144" customFormat="1" ht="12.75" x14ac:dyDescent="0.25">
      <c r="A195" s="21">
        <v>525012105</v>
      </c>
      <c r="B195" s="22" t="s">
        <v>1001</v>
      </c>
      <c r="C195" s="10">
        <v>114</v>
      </c>
      <c r="D195" s="10">
        <v>4911</v>
      </c>
      <c r="E195" s="10" t="s">
        <v>1256</v>
      </c>
      <c r="F195" s="25" t="s">
        <v>73</v>
      </c>
      <c r="G195" s="10"/>
      <c r="H195" s="10"/>
      <c r="I195" s="23" t="s">
        <v>245</v>
      </c>
      <c r="J195" s="223"/>
    </row>
    <row r="196" spans="1:10" s="144" customFormat="1" ht="12.75" x14ac:dyDescent="0.25">
      <c r="A196" s="21">
        <v>525012146</v>
      </c>
      <c r="B196" s="22" t="s">
        <v>446</v>
      </c>
      <c r="C196" s="10" t="s">
        <v>450</v>
      </c>
      <c r="D196" s="10" t="s">
        <v>449</v>
      </c>
      <c r="E196" s="10" t="s">
        <v>448</v>
      </c>
      <c r="F196" s="25" t="s">
        <v>73</v>
      </c>
      <c r="G196" s="10"/>
      <c r="H196" s="10" t="s">
        <v>451</v>
      </c>
      <c r="I196" s="23" t="s">
        <v>41</v>
      </c>
      <c r="J196" s="223"/>
    </row>
    <row r="197" spans="1:10" s="144" customFormat="1" ht="12.75" x14ac:dyDescent="0.25">
      <c r="A197" s="21">
        <v>525012170</v>
      </c>
      <c r="B197" s="22" t="s">
        <v>1017</v>
      </c>
      <c r="C197" s="10" t="s">
        <v>1018</v>
      </c>
      <c r="D197" s="10" t="s">
        <v>1019</v>
      </c>
      <c r="E197" s="10" t="s">
        <v>1020</v>
      </c>
      <c r="F197" s="25" t="s">
        <v>73</v>
      </c>
      <c r="G197" s="10"/>
      <c r="H197" s="10"/>
      <c r="I197" s="23" t="s">
        <v>353</v>
      </c>
      <c r="J197" s="223"/>
    </row>
    <row r="198" spans="1:10" s="144" customFormat="1" ht="12.75" x14ac:dyDescent="0.25">
      <c r="A198" s="24">
        <v>525012201</v>
      </c>
      <c r="B198" s="22" t="s">
        <v>116</v>
      </c>
      <c r="C198" s="25">
        <v>140</v>
      </c>
      <c r="D198" s="27">
        <v>11913</v>
      </c>
      <c r="E198" s="25" t="s">
        <v>794</v>
      </c>
      <c r="F198" s="25" t="s">
        <v>73</v>
      </c>
      <c r="G198" s="10" t="s">
        <v>287</v>
      </c>
      <c r="H198" s="10" t="s">
        <v>114</v>
      </c>
      <c r="I198" s="26" t="s">
        <v>249</v>
      </c>
      <c r="J198" s="223"/>
    </row>
    <row r="199" spans="1:10" s="144" customFormat="1" ht="12.75" x14ac:dyDescent="0.25">
      <c r="A199" s="21">
        <v>525012202</v>
      </c>
      <c r="B199" s="22" t="s">
        <v>3353</v>
      </c>
      <c r="C199" s="10" t="s">
        <v>375</v>
      </c>
      <c r="D199" s="10" t="s">
        <v>376</v>
      </c>
      <c r="E199" s="40" t="s">
        <v>1846</v>
      </c>
      <c r="F199" s="25" t="s">
        <v>73</v>
      </c>
      <c r="G199" s="10"/>
      <c r="H199" s="10" t="s">
        <v>114</v>
      </c>
      <c r="I199" s="26" t="s">
        <v>249</v>
      </c>
      <c r="J199" s="223"/>
    </row>
    <row r="200" spans="1:10" s="144" customFormat="1" ht="12.75" x14ac:dyDescent="0.25">
      <c r="A200" s="21">
        <v>525012203</v>
      </c>
      <c r="B200" s="22" t="s">
        <v>3344</v>
      </c>
      <c r="C200" s="10" t="s">
        <v>3246</v>
      </c>
      <c r="D200" s="10" t="s">
        <v>525</v>
      </c>
      <c r="E200" s="10" t="s">
        <v>1012</v>
      </c>
      <c r="F200" s="25" t="s">
        <v>73</v>
      </c>
      <c r="G200" s="10"/>
      <c r="H200" s="10"/>
      <c r="I200" s="23" t="s">
        <v>249</v>
      </c>
      <c r="J200" s="223"/>
    </row>
    <row r="201" spans="1:10" s="144" customFormat="1" ht="12.75" x14ac:dyDescent="0.25">
      <c r="A201" s="21">
        <v>525012279</v>
      </c>
      <c r="B201" s="22" t="s">
        <v>1632</v>
      </c>
      <c r="C201" s="10" t="s">
        <v>1633</v>
      </c>
      <c r="D201" s="10" t="s">
        <v>863</v>
      </c>
      <c r="E201" s="10" t="s">
        <v>1887</v>
      </c>
      <c r="F201" s="25" t="s">
        <v>73</v>
      </c>
      <c r="G201" s="10"/>
      <c r="H201" s="10"/>
      <c r="I201" s="23" t="s">
        <v>41</v>
      </c>
      <c r="J201" s="223"/>
    </row>
    <row r="202" spans="1:10" s="144" customFormat="1" ht="12.75" x14ac:dyDescent="0.25">
      <c r="A202" s="21">
        <v>525012280</v>
      </c>
      <c r="B202" s="46" t="s">
        <v>861</v>
      </c>
      <c r="C202" s="25" t="s">
        <v>862</v>
      </c>
      <c r="D202" s="25" t="s">
        <v>863</v>
      </c>
      <c r="E202" s="25" t="s">
        <v>864</v>
      </c>
      <c r="F202" s="25" t="s">
        <v>73</v>
      </c>
      <c r="G202" s="47"/>
      <c r="H202" s="47"/>
      <c r="I202" s="50" t="s">
        <v>41</v>
      </c>
      <c r="J202" s="223"/>
    </row>
    <row r="203" spans="1:10" s="144" customFormat="1" ht="12.75" x14ac:dyDescent="0.25">
      <c r="A203" s="24">
        <v>525012308</v>
      </c>
      <c r="B203" s="22" t="s">
        <v>324</v>
      </c>
      <c r="C203" s="25" t="s">
        <v>241</v>
      </c>
      <c r="D203" s="25" t="s">
        <v>242</v>
      </c>
      <c r="E203" s="25" t="s">
        <v>243</v>
      </c>
      <c r="F203" s="25" t="s">
        <v>73</v>
      </c>
      <c r="G203" s="10"/>
      <c r="H203" s="10"/>
      <c r="I203" s="26" t="s">
        <v>249</v>
      </c>
      <c r="J203" s="223"/>
    </row>
    <row r="204" spans="1:10" s="144" customFormat="1" ht="12.75" x14ac:dyDescent="0.25">
      <c r="A204" s="21">
        <v>525012369</v>
      </c>
      <c r="B204" s="37" t="s">
        <v>553</v>
      </c>
      <c r="C204" s="10" t="s">
        <v>554</v>
      </c>
      <c r="D204" s="10" t="s">
        <v>555</v>
      </c>
      <c r="E204" s="10" t="s">
        <v>3256</v>
      </c>
      <c r="F204" s="25" t="s">
        <v>73</v>
      </c>
      <c r="G204" s="38" t="s">
        <v>287</v>
      </c>
      <c r="H204" s="10" t="s">
        <v>2276</v>
      </c>
      <c r="I204" s="26" t="s">
        <v>249</v>
      </c>
      <c r="J204" s="223"/>
    </row>
    <row r="205" spans="1:10" s="144" customFormat="1" ht="12.75" x14ac:dyDescent="0.25">
      <c r="A205" s="21">
        <v>525012410</v>
      </c>
      <c r="B205" s="22" t="s">
        <v>1208</v>
      </c>
      <c r="C205" s="10">
        <v>98</v>
      </c>
      <c r="D205" s="10">
        <v>3156</v>
      </c>
      <c r="E205" s="10">
        <v>4.7</v>
      </c>
      <c r="F205" s="10"/>
      <c r="G205" s="10"/>
      <c r="H205" s="10"/>
      <c r="I205" s="23" t="s">
        <v>45</v>
      </c>
      <c r="J205" s="223"/>
    </row>
    <row r="206" spans="1:10" s="144" customFormat="1" ht="12.75" x14ac:dyDescent="0.25">
      <c r="A206" s="21">
        <v>525013025</v>
      </c>
      <c r="B206" s="22" t="s">
        <v>966</v>
      </c>
      <c r="C206" s="10">
        <v>190</v>
      </c>
      <c r="D206" s="10">
        <v>27986</v>
      </c>
      <c r="E206" s="10" t="s">
        <v>967</v>
      </c>
      <c r="F206" s="25" t="s">
        <v>73</v>
      </c>
      <c r="G206" s="10"/>
      <c r="H206" s="10"/>
      <c r="I206" s="23" t="s">
        <v>249</v>
      </c>
      <c r="J206" s="223"/>
    </row>
    <row r="207" spans="1:10" s="144" customFormat="1" ht="12.75" x14ac:dyDescent="0.25">
      <c r="A207" s="24">
        <v>525013027</v>
      </c>
      <c r="B207" s="22" t="s">
        <v>321</v>
      </c>
      <c r="C207" s="25">
        <v>10.7</v>
      </c>
      <c r="D207" s="25">
        <v>3594</v>
      </c>
      <c r="E207" s="25">
        <v>6.5</v>
      </c>
      <c r="F207" s="25" t="s">
        <v>73</v>
      </c>
      <c r="G207" s="10"/>
      <c r="H207" s="10"/>
      <c r="I207" s="26" t="s">
        <v>79</v>
      </c>
      <c r="J207" s="223"/>
    </row>
    <row r="208" spans="1:10" s="144" customFormat="1" ht="12.75" x14ac:dyDescent="0.25">
      <c r="A208" s="7">
        <v>525013382</v>
      </c>
      <c r="B208" s="46" t="s">
        <v>777</v>
      </c>
      <c r="C208" s="25" t="s">
        <v>778</v>
      </c>
      <c r="D208" s="25" t="s">
        <v>275</v>
      </c>
      <c r="E208" s="25" t="s">
        <v>779</v>
      </c>
      <c r="F208" s="25" t="s">
        <v>73</v>
      </c>
      <c r="G208" s="47"/>
      <c r="H208" s="47"/>
      <c r="I208" s="50" t="s">
        <v>46</v>
      </c>
      <c r="J208" s="223"/>
    </row>
    <row r="209" spans="1:10" s="144" customFormat="1" ht="12.75" x14ac:dyDescent="0.25">
      <c r="A209" s="20">
        <v>525015092</v>
      </c>
      <c r="B209" s="22" t="s">
        <v>117</v>
      </c>
      <c r="C209" s="25">
        <v>104</v>
      </c>
      <c r="D209" s="27">
        <v>5264</v>
      </c>
      <c r="E209" s="25" t="s">
        <v>3069</v>
      </c>
      <c r="F209" s="25" t="s">
        <v>73</v>
      </c>
      <c r="G209" s="10"/>
      <c r="H209" s="10"/>
      <c r="I209" s="23" t="s">
        <v>46</v>
      </c>
      <c r="J209" s="223"/>
    </row>
    <row r="210" spans="1:10" s="144" customFormat="1" ht="12.75" x14ac:dyDescent="0.25">
      <c r="A210" s="7">
        <v>525015108</v>
      </c>
      <c r="B210" s="22" t="s">
        <v>664</v>
      </c>
      <c r="C210" s="10" t="s">
        <v>665</v>
      </c>
      <c r="D210" s="10" t="s">
        <v>666</v>
      </c>
      <c r="E210" s="10" t="s">
        <v>3509</v>
      </c>
      <c r="F210" s="25" t="s">
        <v>73</v>
      </c>
      <c r="G210" s="10"/>
      <c r="H210" s="10"/>
      <c r="I210" s="23" t="s">
        <v>2398</v>
      </c>
      <c r="J210" s="223"/>
    </row>
    <row r="211" spans="1:10" s="144" customFormat="1" ht="12.75" x14ac:dyDescent="0.25">
      <c r="A211" s="24">
        <v>525015171</v>
      </c>
      <c r="B211" s="22" t="s">
        <v>118</v>
      </c>
      <c r="C211" s="25">
        <v>71</v>
      </c>
      <c r="D211" s="25">
        <v>1276</v>
      </c>
      <c r="E211" s="10" t="s">
        <v>91</v>
      </c>
      <c r="F211" s="25" t="s">
        <v>73</v>
      </c>
      <c r="G211" s="10"/>
      <c r="H211" s="10"/>
      <c r="I211" s="26" t="s">
        <v>39</v>
      </c>
      <c r="J211" s="223"/>
    </row>
    <row r="212" spans="1:10" s="144" customFormat="1" ht="12.75" x14ac:dyDescent="0.25">
      <c r="A212" s="21">
        <v>525015249</v>
      </c>
      <c r="B212" s="22" t="s">
        <v>444</v>
      </c>
      <c r="C212" s="10">
        <v>79</v>
      </c>
      <c r="D212" s="10">
        <v>1588</v>
      </c>
      <c r="E212" s="10">
        <v>5</v>
      </c>
      <c r="F212" s="25" t="s">
        <v>73</v>
      </c>
      <c r="G212" s="10"/>
      <c r="H212" s="10" t="s">
        <v>308</v>
      </c>
      <c r="I212" s="23" t="s">
        <v>145</v>
      </c>
      <c r="J212" s="223"/>
    </row>
    <row r="213" spans="1:10" s="144" customFormat="1" ht="12.75" x14ac:dyDescent="0.25">
      <c r="A213" s="7">
        <v>525015261</v>
      </c>
      <c r="B213" s="22" t="s">
        <v>3268</v>
      </c>
      <c r="C213" s="10" t="s">
        <v>3269</v>
      </c>
      <c r="D213" s="10" t="s">
        <v>3270</v>
      </c>
      <c r="E213" s="40" t="s">
        <v>3373</v>
      </c>
      <c r="F213" s="25" t="s">
        <v>73</v>
      </c>
      <c r="G213" s="38"/>
      <c r="H213" s="38"/>
      <c r="I213" s="39" t="s">
        <v>39</v>
      </c>
      <c r="J213" s="223"/>
    </row>
    <row r="214" spans="1:10" s="144" customFormat="1" ht="12.75" x14ac:dyDescent="0.25">
      <c r="A214" s="7">
        <v>525015265</v>
      </c>
      <c r="B214" s="22" t="s">
        <v>119</v>
      </c>
      <c r="C214" s="10" t="s">
        <v>3566</v>
      </c>
      <c r="D214" s="10">
        <v>1076</v>
      </c>
      <c r="E214" s="10" t="s">
        <v>126</v>
      </c>
      <c r="F214" s="25" t="s">
        <v>73</v>
      </c>
      <c r="G214" s="10"/>
      <c r="H214" s="10"/>
      <c r="I214" s="23" t="s">
        <v>39</v>
      </c>
      <c r="J214" s="223"/>
    </row>
    <row r="215" spans="1:10" s="144" customFormat="1" ht="12.75" x14ac:dyDescent="0.25">
      <c r="A215" s="7">
        <v>525015303</v>
      </c>
      <c r="B215" s="22" t="s">
        <v>1014</v>
      </c>
      <c r="C215" s="10">
        <v>76</v>
      </c>
      <c r="D215" s="10">
        <v>1478</v>
      </c>
      <c r="E215" s="10" t="s">
        <v>140</v>
      </c>
      <c r="F215" s="25" t="s">
        <v>73</v>
      </c>
      <c r="G215" s="10"/>
      <c r="H215" s="10"/>
      <c r="I215" s="23" t="s">
        <v>39</v>
      </c>
      <c r="J215" s="223"/>
    </row>
    <row r="216" spans="1:10" s="144" customFormat="1" ht="12.75" x14ac:dyDescent="0.25">
      <c r="A216" s="7">
        <v>525015345</v>
      </c>
      <c r="B216" s="22" t="s">
        <v>910</v>
      </c>
      <c r="C216" s="10">
        <v>72</v>
      </c>
      <c r="D216" s="10">
        <v>1518</v>
      </c>
      <c r="E216" s="10">
        <v>3</v>
      </c>
      <c r="F216" s="25" t="s">
        <v>73</v>
      </c>
      <c r="G216" s="10"/>
      <c r="H216" s="10"/>
      <c r="I216" s="23" t="s">
        <v>39</v>
      </c>
      <c r="J216" s="223"/>
    </row>
    <row r="217" spans="1:10" s="144" customFormat="1" ht="12.75" x14ac:dyDescent="0.25">
      <c r="A217" s="20">
        <v>525015360</v>
      </c>
      <c r="B217" s="22" t="s">
        <v>120</v>
      </c>
      <c r="C217" s="25">
        <v>90</v>
      </c>
      <c r="D217" s="25">
        <v>4116</v>
      </c>
      <c r="E217" s="25" t="s">
        <v>121</v>
      </c>
      <c r="F217" s="25" t="s">
        <v>73</v>
      </c>
      <c r="G217" s="10"/>
      <c r="H217" s="10"/>
      <c r="I217" s="26" t="s">
        <v>79</v>
      </c>
      <c r="J217" s="223"/>
    </row>
    <row r="218" spans="1:10" s="144" customFormat="1" ht="12.75" x14ac:dyDescent="0.25">
      <c r="A218" s="21">
        <v>525015375</v>
      </c>
      <c r="B218" s="22" t="s">
        <v>511</v>
      </c>
      <c r="C218" s="10">
        <v>104</v>
      </c>
      <c r="D218" s="10">
        <v>5874</v>
      </c>
      <c r="E218" s="10">
        <v>2.2000000000000002</v>
      </c>
      <c r="F218" s="25" t="s">
        <v>73</v>
      </c>
      <c r="G218" s="10"/>
      <c r="H218" s="10"/>
      <c r="I218" s="23" t="s">
        <v>245</v>
      </c>
      <c r="J218" s="223"/>
    </row>
    <row r="219" spans="1:10" s="144" customFormat="1" ht="12.75" x14ac:dyDescent="0.25">
      <c r="A219" s="21">
        <v>525015407</v>
      </c>
      <c r="B219" s="22" t="s">
        <v>122</v>
      </c>
      <c r="C219" s="25">
        <v>109</v>
      </c>
      <c r="D219" s="25">
        <v>4929</v>
      </c>
      <c r="E219" s="25">
        <v>4.2</v>
      </c>
      <c r="F219" s="25" t="s">
        <v>73</v>
      </c>
      <c r="G219" s="25"/>
      <c r="H219" s="25"/>
      <c r="I219" s="26" t="s">
        <v>145</v>
      </c>
      <c r="J219" s="223"/>
    </row>
    <row r="220" spans="1:10" s="144" customFormat="1" ht="12.75" x14ac:dyDescent="0.25">
      <c r="A220" s="21">
        <v>525015425</v>
      </c>
      <c r="B220" s="22" t="s">
        <v>123</v>
      </c>
      <c r="C220" s="25" t="s">
        <v>124</v>
      </c>
      <c r="D220" s="25">
        <v>1017</v>
      </c>
      <c r="E220" s="25" t="s">
        <v>1061</v>
      </c>
      <c r="F220" s="25" t="s">
        <v>73</v>
      </c>
      <c r="G220" s="10"/>
      <c r="H220" s="10"/>
      <c r="I220" s="26" t="s">
        <v>145</v>
      </c>
      <c r="J220" s="223"/>
    </row>
    <row r="221" spans="1:10" s="144" customFormat="1" ht="12.75" x14ac:dyDescent="0.25">
      <c r="A221" s="21">
        <v>525015635</v>
      </c>
      <c r="B221" s="46" t="s">
        <v>716</v>
      </c>
      <c r="C221" s="10">
        <v>67</v>
      </c>
      <c r="D221" s="10">
        <v>951</v>
      </c>
      <c r="E221" s="10">
        <v>4.9000000000000004</v>
      </c>
      <c r="F221" s="25" t="s">
        <v>73</v>
      </c>
      <c r="G221" s="47"/>
      <c r="H221" s="47"/>
      <c r="I221" s="48" t="s">
        <v>150</v>
      </c>
      <c r="J221" s="223"/>
    </row>
    <row r="222" spans="1:10" s="144" customFormat="1" ht="12.75" x14ac:dyDescent="0.25">
      <c r="A222" s="21">
        <v>525015638</v>
      </c>
      <c r="B222" s="22" t="s">
        <v>1819</v>
      </c>
      <c r="C222" s="10" t="s">
        <v>3868</v>
      </c>
      <c r="D222" s="10" t="s">
        <v>3869</v>
      </c>
      <c r="E222" s="10" t="s">
        <v>1886</v>
      </c>
      <c r="F222" s="25" t="s">
        <v>73</v>
      </c>
      <c r="G222" s="10"/>
      <c r="H222" s="10" t="s">
        <v>388</v>
      </c>
      <c r="I222" s="23" t="s">
        <v>46</v>
      </c>
      <c r="J222" s="223"/>
    </row>
    <row r="223" spans="1:10" s="144" customFormat="1" ht="12.75" x14ac:dyDescent="0.25">
      <c r="A223" s="21">
        <v>525015723</v>
      </c>
      <c r="B223" s="22" t="s">
        <v>125</v>
      </c>
      <c r="C223" s="10">
        <v>115</v>
      </c>
      <c r="D223" s="10">
        <v>4902</v>
      </c>
      <c r="E223" s="10">
        <v>7.2</v>
      </c>
      <c r="F223" s="25" t="s">
        <v>73</v>
      </c>
      <c r="G223" s="10"/>
      <c r="H223" s="10"/>
      <c r="I223" s="23" t="s">
        <v>45</v>
      </c>
      <c r="J223" s="223"/>
    </row>
    <row r="224" spans="1:10" s="144" customFormat="1" ht="12.75" x14ac:dyDescent="0.25">
      <c r="A224" s="21">
        <v>525015774</v>
      </c>
      <c r="B224" s="22" t="s">
        <v>1238</v>
      </c>
      <c r="C224" s="10" t="s">
        <v>769</v>
      </c>
      <c r="D224" s="10" t="s">
        <v>770</v>
      </c>
      <c r="E224" s="10" t="s">
        <v>771</v>
      </c>
      <c r="F224" s="25" t="s">
        <v>73</v>
      </c>
      <c r="G224" s="47"/>
      <c r="H224" s="47"/>
      <c r="I224" s="23" t="s">
        <v>249</v>
      </c>
      <c r="J224" s="223"/>
    </row>
    <row r="225" spans="1:10" s="144" customFormat="1" ht="12.75" x14ac:dyDescent="0.25">
      <c r="A225" s="21">
        <v>525015780</v>
      </c>
      <c r="B225" s="22" t="s">
        <v>1073</v>
      </c>
      <c r="C225" s="10" t="s">
        <v>1074</v>
      </c>
      <c r="D225" s="10" t="s">
        <v>1075</v>
      </c>
      <c r="E225" s="10" t="s">
        <v>1071</v>
      </c>
      <c r="F225" s="25" t="s">
        <v>73</v>
      </c>
      <c r="G225" s="10"/>
      <c r="H225" s="10"/>
      <c r="I225" s="23" t="s">
        <v>429</v>
      </c>
      <c r="J225" s="223"/>
    </row>
    <row r="226" spans="1:10" s="144" customFormat="1" ht="12.75" x14ac:dyDescent="0.25">
      <c r="A226" s="21">
        <v>525015836</v>
      </c>
      <c r="B226" s="22" t="s">
        <v>1072</v>
      </c>
      <c r="C226" s="10" t="s">
        <v>567</v>
      </c>
      <c r="D226" s="10" t="s">
        <v>566</v>
      </c>
      <c r="E226" s="10" t="s">
        <v>565</v>
      </c>
      <c r="F226" s="25" t="s">
        <v>73</v>
      </c>
      <c r="G226" s="42"/>
      <c r="H226" s="38"/>
      <c r="I226" s="23" t="s">
        <v>245</v>
      </c>
      <c r="J226" s="223"/>
    </row>
    <row r="227" spans="1:10" s="144" customFormat="1" ht="12.75" x14ac:dyDescent="0.25">
      <c r="A227" s="21">
        <v>525015862</v>
      </c>
      <c r="B227" s="22" t="s">
        <v>3066</v>
      </c>
      <c r="C227" s="10" t="s">
        <v>3067</v>
      </c>
      <c r="D227" s="10" t="s">
        <v>668</v>
      </c>
      <c r="E227" s="10" t="s">
        <v>2596</v>
      </c>
      <c r="F227" s="25" t="s">
        <v>73</v>
      </c>
      <c r="G227" s="51"/>
      <c r="H227" s="47"/>
      <c r="I227" s="23" t="s">
        <v>3038</v>
      </c>
      <c r="J227" s="223"/>
    </row>
    <row r="228" spans="1:10" s="144" customFormat="1" ht="12.75" x14ac:dyDescent="0.25">
      <c r="A228" s="21">
        <v>525016009</v>
      </c>
      <c r="B228" s="22" t="s">
        <v>1239</v>
      </c>
      <c r="C228" s="10">
        <v>90</v>
      </c>
      <c r="D228" s="10">
        <v>2682</v>
      </c>
      <c r="E228" s="10" t="s">
        <v>126</v>
      </c>
      <c r="F228" s="25" t="s">
        <v>73</v>
      </c>
      <c r="G228" s="7"/>
      <c r="H228" s="10" t="s">
        <v>309</v>
      </c>
      <c r="I228" s="23" t="s">
        <v>96</v>
      </c>
      <c r="J228" s="223"/>
    </row>
    <row r="229" spans="1:10" s="144" customFormat="1" ht="12.75" x14ac:dyDescent="0.25">
      <c r="A229" s="24">
        <v>525016041</v>
      </c>
      <c r="B229" s="22" t="s">
        <v>127</v>
      </c>
      <c r="C229" s="25">
        <v>65</v>
      </c>
      <c r="D229" s="27">
        <v>1377</v>
      </c>
      <c r="E229" s="25" t="s">
        <v>1103</v>
      </c>
      <c r="F229" s="25" t="s">
        <v>73</v>
      </c>
      <c r="G229" s="7"/>
      <c r="H229" s="10" t="s">
        <v>309</v>
      </c>
      <c r="I229" s="23" t="s">
        <v>96</v>
      </c>
      <c r="J229" s="223"/>
    </row>
    <row r="230" spans="1:10" s="144" customFormat="1" ht="12.75" x14ac:dyDescent="0.25">
      <c r="A230" s="24">
        <v>525016108</v>
      </c>
      <c r="B230" s="22" t="s">
        <v>128</v>
      </c>
      <c r="C230" s="25">
        <v>70</v>
      </c>
      <c r="D230" s="25">
        <v>1387</v>
      </c>
      <c r="E230" s="25" t="s">
        <v>86</v>
      </c>
      <c r="F230" s="25" t="s">
        <v>73</v>
      </c>
      <c r="G230" s="16"/>
      <c r="H230" s="10" t="s">
        <v>307</v>
      </c>
      <c r="I230" s="26" t="s">
        <v>39</v>
      </c>
      <c r="J230" s="223"/>
    </row>
    <row r="231" spans="1:10" s="144" customFormat="1" ht="12.75" x14ac:dyDescent="0.25">
      <c r="A231" s="7">
        <v>525016132</v>
      </c>
      <c r="B231" s="18" t="s">
        <v>1701</v>
      </c>
      <c r="C231" s="10" t="s">
        <v>661</v>
      </c>
      <c r="D231" s="10" t="s">
        <v>662</v>
      </c>
      <c r="E231" s="10" t="s">
        <v>1930</v>
      </c>
      <c r="F231" s="25" t="s">
        <v>73</v>
      </c>
      <c r="G231" s="51"/>
      <c r="H231" s="10" t="s">
        <v>388</v>
      </c>
      <c r="I231" s="51" t="s">
        <v>46</v>
      </c>
      <c r="J231" s="223"/>
    </row>
    <row r="232" spans="1:10" s="144" customFormat="1" ht="12.75" x14ac:dyDescent="0.25">
      <c r="A232" s="24">
        <v>525016161</v>
      </c>
      <c r="B232" s="22" t="s">
        <v>1240</v>
      </c>
      <c r="C232" s="25" t="s">
        <v>292</v>
      </c>
      <c r="D232" s="25" t="s">
        <v>293</v>
      </c>
      <c r="E232" s="25" t="s">
        <v>294</v>
      </c>
      <c r="F232" s="25" t="s">
        <v>73</v>
      </c>
      <c r="G232" s="10"/>
      <c r="H232" s="10" t="s">
        <v>309</v>
      </c>
      <c r="I232" s="26" t="s">
        <v>96</v>
      </c>
      <c r="J232" s="223"/>
    </row>
    <row r="233" spans="1:10" s="144" customFormat="1" ht="12.75" x14ac:dyDescent="0.25">
      <c r="A233" s="7">
        <v>525016196</v>
      </c>
      <c r="B233" s="69" t="s">
        <v>544</v>
      </c>
      <c r="C233" s="10">
        <v>87</v>
      </c>
      <c r="D233" s="10">
        <v>2198</v>
      </c>
      <c r="E233" s="10" t="s">
        <v>546</v>
      </c>
      <c r="F233" s="25" t="s">
        <v>73</v>
      </c>
      <c r="G233" s="42"/>
      <c r="H233" s="42"/>
      <c r="I233" s="42" t="s">
        <v>92</v>
      </c>
      <c r="J233" s="223"/>
    </row>
    <row r="234" spans="1:10" s="144" customFormat="1" ht="12.75" x14ac:dyDescent="0.25">
      <c r="A234" s="7">
        <v>525016203</v>
      </c>
      <c r="B234" s="18" t="s">
        <v>1057</v>
      </c>
      <c r="C234" s="7" t="s">
        <v>1058</v>
      </c>
      <c r="D234" s="7" t="s">
        <v>1059</v>
      </c>
      <c r="E234" s="7" t="s">
        <v>1060</v>
      </c>
      <c r="F234" s="25" t="s">
        <v>73</v>
      </c>
      <c r="G234" s="42"/>
      <c r="H234" s="10" t="s">
        <v>388</v>
      </c>
      <c r="I234" s="7" t="s">
        <v>46</v>
      </c>
      <c r="J234" s="223"/>
    </row>
    <row r="235" spans="1:10" s="144" customFormat="1" ht="12.75" x14ac:dyDescent="0.25">
      <c r="A235" s="7">
        <v>525016213</v>
      </c>
      <c r="B235" s="22" t="s">
        <v>2225</v>
      </c>
      <c r="C235" s="25" t="s">
        <v>1757</v>
      </c>
      <c r="D235" s="25" t="s">
        <v>226</v>
      </c>
      <c r="E235" s="25" t="s">
        <v>1758</v>
      </c>
      <c r="F235" s="25" t="s">
        <v>73</v>
      </c>
      <c r="G235" s="10"/>
      <c r="H235" s="10" t="s">
        <v>388</v>
      </c>
      <c r="I235" s="23" t="s">
        <v>46</v>
      </c>
      <c r="J235" s="223"/>
    </row>
    <row r="236" spans="1:10" s="144" customFormat="1" ht="12.75" x14ac:dyDescent="0.25">
      <c r="A236" s="7">
        <v>525016214</v>
      </c>
      <c r="B236" s="46" t="s">
        <v>857</v>
      </c>
      <c r="C236" s="25" t="s">
        <v>858</v>
      </c>
      <c r="D236" s="25" t="s">
        <v>859</v>
      </c>
      <c r="E236" s="25" t="s">
        <v>860</v>
      </c>
      <c r="F236" s="25" t="s">
        <v>73</v>
      </c>
      <c r="G236" s="47"/>
      <c r="H236" s="10" t="s">
        <v>388</v>
      </c>
      <c r="I236" s="50" t="s">
        <v>46</v>
      </c>
      <c r="J236" s="223"/>
    </row>
    <row r="237" spans="1:10" s="144" customFormat="1" ht="12.75" x14ac:dyDescent="0.25">
      <c r="A237" s="7">
        <v>525016216</v>
      </c>
      <c r="B237" s="22" t="s">
        <v>2435</v>
      </c>
      <c r="C237" s="10" t="s">
        <v>559</v>
      </c>
      <c r="D237" s="10" t="s">
        <v>560</v>
      </c>
      <c r="E237" s="10" t="s">
        <v>561</v>
      </c>
      <c r="F237" s="25" t="s">
        <v>73</v>
      </c>
      <c r="G237" s="38"/>
      <c r="H237" s="10" t="s">
        <v>388</v>
      </c>
      <c r="I237" s="39" t="s">
        <v>46</v>
      </c>
      <c r="J237" s="223"/>
    </row>
    <row r="238" spans="1:10" s="144" customFormat="1" ht="12.75" x14ac:dyDescent="0.25">
      <c r="A238" s="7">
        <v>525016331</v>
      </c>
      <c r="B238" s="22" t="s">
        <v>1048</v>
      </c>
      <c r="C238" s="10" t="s">
        <v>1049</v>
      </c>
      <c r="D238" s="10" t="s">
        <v>226</v>
      </c>
      <c r="E238" s="10" t="s">
        <v>1934</v>
      </c>
      <c r="F238" s="25" t="s">
        <v>73</v>
      </c>
      <c r="G238" s="10"/>
      <c r="H238" s="10" t="s">
        <v>388</v>
      </c>
      <c r="I238" s="23" t="s">
        <v>46</v>
      </c>
      <c r="J238" s="223"/>
    </row>
    <row r="239" spans="1:10" s="144" customFormat="1" ht="12.75" x14ac:dyDescent="0.25">
      <c r="A239" s="7">
        <v>525016332</v>
      </c>
      <c r="B239" s="37" t="s">
        <v>466</v>
      </c>
      <c r="C239" s="10" t="s">
        <v>468</v>
      </c>
      <c r="D239" s="10" t="s">
        <v>226</v>
      </c>
      <c r="E239" s="10" t="s">
        <v>469</v>
      </c>
      <c r="F239" s="25" t="s">
        <v>73</v>
      </c>
      <c r="G239" s="38"/>
      <c r="H239" s="10" t="s">
        <v>388</v>
      </c>
      <c r="I239" s="39" t="s">
        <v>46</v>
      </c>
      <c r="J239" s="223"/>
    </row>
    <row r="240" spans="1:10" s="144" customFormat="1" ht="12.75" x14ac:dyDescent="0.25">
      <c r="A240" s="20">
        <v>525016333</v>
      </c>
      <c r="B240" s="22" t="s">
        <v>211</v>
      </c>
      <c r="C240" s="25" t="s">
        <v>212</v>
      </c>
      <c r="D240" s="25" t="s">
        <v>213</v>
      </c>
      <c r="E240" s="25" t="s">
        <v>214</v>
      </c>
      <c r="F240" s="25" t="s">
        <v>73</v>
      </c>
      <c r="G240" s="10" t="s">
        <v>277</v>
      </c>
      <c r="H240" s="10" t="s">
        <v>388</v>
      </c>
      <c r="I240" s="26" t="s">
        <v>46</v>
      </c>
      <c r="J240" s="223"/>
    </row>
    <row r="241" spans="1:10" s="144" customFormat="1" ht="12.75" x14ac:dyDescent="0.25">
      <c r="A241" s="7">
        <v>525016563</v>
      </c>
      <c r="B241" s="22" t="s">
        <v>129</v>
      </c>
      <c r="C241" s="25">
        <v>70</v>
      </c>
      <c r="D241" s="25">
        <v>1083</v>
      </c>
      <c r="E241" s="25" t="s">
        <v>126</v>
      </c>
      <c r="F241" s="25" t="s">
        <v>73</v>
      </c>
      <c r="G241" s="10"/>
      <c r="H241" s="10"/>
      <c r="I241" s="23" t="s">
        <v>1976</v>
      </c>
      <c r="J241" s="223"/>
    </row>
    <row r="242" spans="1:10" s="144" customFormat="1" ht="12.75" x14ac:dyDescent="0.25">
      <c r="A242" s="7">
        <v>525016602</v>
      </c>
      <c r="B242" s="22" t="s">
        <v>1209</v>
      </c>
      <c r="C242" s="10">
        <v>31</v>
      </c>
      <c r="D242" s="10">
        <v>298</v>
      </c>
      <c r="E242" s="10">
        <v>3.8</v>
      </c>
      <c r="F242" s="10"/>
      <c r="G242" s="10"/>
      <c r="H242" s="10"/>
      <c r="I242" s="23" t="s">
        <v>246</v>
      </c>
      <c r="J242" s="223"/>
    </row>
    <row r="243" spans="1:10" s="144" customFormat="1" ht="12.75" x14ac:dyDescent="0.25">
      <c r="A243" s="7">
        <v>525018012</v>
      </c>
      <c r="B243" s="22" t="s">
        <v>1634</v>
      </c>
      <c r="C243" s="10" t="s">
        <v>479</v>
      </c>
      <c r="D243" s="10" t="s">
        <v>480</v>
      </c>
      <c r="E243" s="10" t="s">
        <v>1071</v>
      </c>
      <c r="F243" s="25" t="s">
        <v>73</v>
      </c>
      <c r="G243" s="10"/>
      <c r="H243" s="10" t="s">
        <v>388</v>
      </c>
      <c r="I243" s="23" t="s">
        <v>46</v>
      </c>
      <c r="J243" s="223"/>
    </row>
    <row r="244" spans="1:10" s="144" customFormat="1" ht="12.75" x14ac:dyDescent="0.25">
      <c r="A244" s="21">
        <v>525018078</v>
      </c>
      <c r="B244" s="22" t="s">
        <v>396</v>
      </c>
      <c r="C244" s="10" t="s">
        <v>399</v>
      </c>
      <c r="D244" s="10" t="s">
        <v>633</v>
      </c>
      <c r="E244" s="10" t="s">
        <v>881</v>
      </c>
      <c r="F244" s="25" t="s">
        <v>73</v>
      </c>
      <c r="G244" s="10"/>
      <c r="H244" s="10" t="s">
        <v>403</v>
      </c>
      <c r="I244" s="23" t="s">
        <v>71</v>
      </c>
      <c r="J244" s="223"/>
    </row>
    <row r="245" spans="1:10" s="144" customFormat="1" ht="12.75" x14ac:dyDescent="0.25">
      <c r="A245" s="21">
        <v>525018171</v>
      </c>
      <c r="B245" s="22" t="s">
        <v>130</v>
      </c>
      <c r="C245" s="10">
        <v>97</v>
      </c>
      <c r="D245" s="10">
        <v>4811</v>
      </c>
      <c r="E245" s="10" t="s">
        <v>131</v>
      </c>
      <c r="F245" s="25" t="s">
        <v>73</v>
      </c>
      <c r="G245" s="10"/>
      <c r="H245" s="10" t="s">
        <v>311</v>
      </c>
      <c r="I245" s="23" t="s">
        <v>84</v>
      </c>
      <c r="J245" s="223"/>
    </row>
    <row r="246" spans="1:10" s="144" customFormat="1" ht="12.75" x14ac:dyDescent="0.25">
      <c r="A246" s="7">
        <v>525018278</v>
      </c>
      <c r="B246" s="22" t="s">
        <v>132</v>
      </c>
      <c r="C246" s="10">
        <v>88</v>
      </c>
      <c r="D246" s="10">
        <v>2357</v>
      </c>
      <c r="E246" s="10" t="s">
        <v>133</v>
      </c>
      <c r="F246" s="25" t="s">
        <v>73</v>
      </c>
      <c r="G246" s="10"/>
      <c r="H246" s="10"/>
      <c r="I246" s="23" t="s">
        <v>92</v>
      </c>
      <c r="J246" s="223"/>
    </row>
    <row r="247" spans="1:10" s="144" customFormat="1" ht="12.75" x14ac:dyDescent="0.25">
      <c r="A247" s="7">
        <v>525018278</v>
      </c>
      <c r="B247" s="22" t="s">
        <v>134</v>
      </c>
      <c r="C247" s="10">
        <v>145</v>
      </c>
      <c r="D247" s="10">
        <v>11436</v>
      </c>
      <c r="E247" s="10" t="s">
        <v>135</v>
      </c>
      <c r="F247" s="25" t="s">
        <v>73</v>
      </c>
      <c r="G247" s="10"/>
      <c r="H247" s="10" t="s">
        <v>309</v>
      </c>
      <c r="I247" s="23" t="s">
        <v>96</v>
      </c>
      <c r="J247" s="223"/>
    </row>
    <row r="248" spans="1:10" s="144" customFormat="1" ht="12.75" x14ac:dyDescent="0.25">
      <c r="A248" s="20">
        <v>525018326</v>
      </c>
      <c r="B248" s="22" t="s">
        <v>82</v>
      </c>
      <c r="C248" s="25">
        <v>105</v>
      </c>
      <c r="D248" s="25">
        <v>4934</v>
      </c>
      <c r="E248" s="25" t="s">
        <v>138</v>
      </c>
      <c r="F248" s="25" t="s">
        <v>73</v>
      </c>
      <c r="G248" s="10"/>
      <c r="H248" s="10" t="s">
        <v>309</v>
      </c>
      <c r="I248" s="26" t="s">
        <v>96</v>
      </c>
      <c r="J248" s="223"/>
    </row>
    <row r="249" spans="1:10" s="144" customFormat="1" ht="12.75" x14ac:dyDescent="0.25">
      <c r="A249" s="7">
        <v>525018364</v>
      </c>
      <c r="B249" s="22" t="s">
        <v>3448</v>
      </c>
      <c r="C249" s="10" t="s">
        <v>3449</v>
      </c>
      <c r="D249" s="10" t="s">
        <v>3450</v>
      </c>
      <c r="E249" s="10" t="s">
        <v>2596</v>
      </c>
      <c r="F249" s="25" t="s">
        <v>73</v>
      </c>
      <c r="G249" s="38"/>
      <c r="H249" s="38"/>
      <c r="I249" s="23" t="s">
        <v>150</v>
      </c>
      <c r="J249" s="223"/>
    </row>
    <row r="250" spans="1:10" s="144" customFormat="1" ht="12.75" x14ac:dyDescent="0.25">
      <c r="A250" s="7">
        <v>525018374</v>
      </c>
      <c r="B250" s="46" t="s">
        <v>693</v>
      </c>
      <c r="C250" s="10" t="s">
        <v>3352</v>
      </c>
      <c r="D250" s="10" t="s">
        <v>694</v>
      </c>
      <c r="E250" s="10" t="s">
        <v>3141</v>
      </c>
      <c r="F250" s="25" t="s">
        <v>73</v>
      </c>
      <c r="G250" s="47"/>
      <c r="H250" s="47"/>
      <c r="I250" s="26" t="s">
        <v>1976</v>
      </c>
      <c r="J250" s="223"/>
    </row>
    <row r="251" spans="1:10" s="144" customFormat="1" ht="12.75" x14ac:dyDescent="0.25">
      <c r="A251" s="20">
        <v>525018427</v>
      </c>
      <c r="B251" s="22" t="s">
        <v>136</v>
      </c>
      <c r="C251" s="25">
        <v>149</v>
      </c>
      <c r="D251" s="25">
        <v>12358</v>
      </c>
      <c r="E251" s="25">
        <v>6.8</v>
      </c>
      <c r="F251" s="25" t="s">
        <v>73</v>
      </c>
      <c r="G251" s="10"/>
      <c r="H251" s="10" t="s">
        <v>309</v>
      </c>
      <c r="I251" s="26" t="s">
        <v>96</v>
      </c>
      <c r="J251" s="223"/>
    </row>
    <row r="252" spans="1:10" s="144" customFormat="1" ht="12.75" x14ac:dyDescent="0.25">
      <c r="A252" s="20">
        <v>525018456</v>
      </c>
      <c r="B252" s="22" t="s">
        <v>869</v>
      </c>
      <c r="C252" s="25" t="s">
        <v>301</v>
      </c>
      <c r="D252" s="25" t="s">
        <v>221</v>
      </c>
      <c r="E252" s="25" t="s">
        <v>302</v>
      </c>
      <c r="F252" s="25" t="s">
        <v>73</v>
      </c>
      <c r="G252" s="10"/>
      <c r="H252" s="25" t="s">
        <v>76</v>
      </c>
      <c r="I252" s="26" t="s">
        <v>71</v>
      </c>
      <c r="J252" s="223"/>
    </row>
    <row r="253" spans="1:10" s="144" customFormat="1" ht="12.75" x14ac:dyDescent="0.25">
      <c r="A253" s="20">
        <v>525018460</v>
      </c>
      <c r="B253" s="22" t="s">
        <v>137</v>
      </c>
      <c r="C253" s="25">
        <v>78</v>
      </c>
      <c r="D253" s="25">
        <v>1264</v>
      </c>
      <c r="E253" s="10" t="s">
        <v>138</v>
      </c>
      <c r="F253" s="25" t="s">
        <v>73</v>
      </c>
      <c r="G253" s="10"/>
      <c r="H253" s="10"/>
      <c r="I253" s="26" t="s">
        <v>92</v>
      </c>
      <c r="J253" s="223"/>
    </row>
    <row r="254" spans="1:10" s="144" customFormat="1" ht="12.75" x14ac:dyDescent="0.25">
      <c r="A254" s="7">
        <v>525019035</v>
      </c>
      <c r="B254" s="22" t="s">
        <v>1026</v>
      </c>
      <c r="C254" s="10">
        <v>67</v>
      </c>
      <c r="D254" s="10">
        <v>1000</v>
      </c>
      <c r="E254" s="10" t="s">
        <v>1027</v>
      </c>
      <c r="F254" s="25" t="s">
        <v>73</v>
      </c>
      <c r="G254" s="10"/>
      <c r="H254" s="10"/>
      <c r="I254" s="23" t="s">
        <v>920</v>
      </c>
      <c r="J254" s="223"/>
    </row>
    <row r="255" spans="1:10" s="144" customFormat="1" ht="12.75" x14ac:dyDescent="0.25">
      <c r="A255" s="20">
        <v>525019324</v>
      </c>
      <c r="B255" s="22" t="s">
        <v>139</v>
      </c>
      <c r="C255" s="25">
        <v>75</v>
      </c>
      <c r="D255" s="25">
        <v>1196</v>
      </c>
      <c r="E255" s="25">
        <v>4.0999999999999996</v>
      </c>
      <c r="F255" s="25" t="s">
        <v>73</v>
      </c>
      <c r="G255" s="10"/>
      <c r="H255" s="10" t="s">
        <v>309</v>
      </c>
      <c r="I255" s="26" t="s">
        <v>96</v>
      </c>
      <c r="J255" s="223"/>
    </row>
    <row r="256" spans="1:10" s="144" customFormat="1" ht="12.75" x14ac:dyDescent="0.25">
      <c r="A256" s="7">
        <v>525019328</v>
      </c>
      <c r="B256" s="22" t="s">
        <v>355</v>
      </c>
      <c r="C256" s="10" t="s">
        <v>352</v>
      </c>
      <c r="D256" s="10">
        <v>2995</v>
      </c>
      <c r="E256" s="10" t="s">
        <v>86</v>
      </c>
      <c r="F256" s="25" t="s">
        <v>73</v>
      </c>
      <c r="G256" s="10"/>
      <c r="H256" s="10" t="s">
        <v>354</v>
      </c>
      <c r="I256" s="23" t="s">
        <v>46</v>
      </c>
      <c r="J256" s="223"/>
    </row>
    <row r="257" spans="1:10" s="144" customFormat="1" ht="12.75" x14ac:dyDescent="0.25">
      <c r="A257" s="20">
        <v>525019354</v>
      </c>
      <c r="B257" s="22" t="s">
        <v>219</v>
      </c>
      <c r="C257" s="25" t="s">
        <v>659</v>
      </c>
      <c r="D257" s="27" t="s">
        <v>220</v>
      </c>
      <c r="E257" s="30" t="s">
        <v>660</v>
      </c>
      <c r="F257" s="25" t="s">
        <v>73</v>
      </c>
      <c r="G257" s="25"/>
      <c r="H257" s="25"/>
      <c r="I257" s="23" t="s">
        <v>92</v>
      </c>
      <c r="J257" s="223"/>
    </row>
    <row r="258" spans="1:10" s="144" customFormat="1" ht="12.75" x14ac:dyDescent="0.25">
      <c r="A258" s="7">
        <v>525019372</v>
      </c>
      <c r="B258" s="22" t="s">
        <v>447</v>
      </c>
      <c r="C258" s="10">
        <v>94</v>
      </c>
      <c r="D258" s="10">
        <v>2750</v>
      </c>
      <c r="E258" s="10">
        <v>5.8</v>
      </c>
      <c r="F258" s="25" t="s">
        <v>73</v>
      </c>
      <c r="G258" s="10"/>
      <c r="H258" s="10" t="s">
        <v>432</v>
      </c>
      <c r="I258" s="23" t="s">
        <v>154</v>
      </c>
      <c r="J258" s="223"/>
    </row>
    <row r="259" spans="1:10" s="144" customFormat="1" ht="12.75" x14ac:dyDescent="0.25">
      <c r="A259" s="7">
        <v>525019482</v>
      </c>
      <c r="B259" s="22" t="s">
        <v>305</v>
      </c>
      <c r="C259" s="25">
        <v>90</v>
      </c>
      <c r="D259" s="25">
        <v>3587</v>
      </c>
      <c r="E259" s="25" t="s">
        <v>140</v>
      </c>
      <c r="F259" s="25" t="s">
        <v>73</v>
      </c>
      <c r="G259" s="10"/>
      <c r="H259" s="10"/>
      <c r="I259" s="26" t="s">
        <v>45</v>
      </c>
      <c r="J259" s="223"/>
    </row>
    <row r="260" spans="1:10" s="144" customFormat="1" ht="12.75" x14ac:dyDescent="0.25">
      <c r="A260" s="7">
        <v>525019550</v>
      </c>
      <c r="B260" s="22" t="s">
        <v>1241</v>
      </c>
      <c r="C260" s="10">
        <v>160</v>
      </c>
      <c r="D260" s="10">
        <v>12317</v>
      </c>
      <c r="E260" s="10" t="s">
        <v>112</v>
      </c>
      <c r="F260" s="25" t="s">
        <v>73</v>
      </c>
      <c r="G260" s="10"/>
      <c r="H260" s="10" t="s">
        <v>309</v>
      </c>
      <c r="I260" s="23" t="s">
        <v>96</v>
      </c>
      <c r="J260" s="223"/>
    </row>
    <row r="261" spans="1:10" s="144" customFormat="1" ht="12.75" x14ac:dyDescent="0.25">
      <c r="A261" s="7">
        <v>525019560</v>
      </c>
      <c r="B261" s="22" t="s">
        <v>1242</v>
      </c>
      <c r="C261" s="10">
        <v>60</v>
      </c>
      <c r="D261" s="10">
        <v>726</v>
      </c>
      <c r="E261" s="10">
        <v>3</v>
      </c>
      <c r="F261" s="25" t="s">
        <v>73</v>
      </c>
      <c r="G261" s="10"/>
      <c r="H261" s="10"/>
      <c r="I261" s="23" t="s">
        <v>142</v>
      </c>
      <c r="J261" s="223"/>
    </row>
    <row r="262" spans="1:10" s="144" customFormat="1" ht="12.75" x14ac:dyDescent="0.2">
      <c r="A262" s="60">
        <v>525019565</v>
      </c>
      <c r="B262" s="22" t="s">
        <v>1243</v>
      </c>
      <c r="C262" s="10">
        <v>114</v>
      </c>
      <c r="D262" s="10">
        <v>4467</v>
      </c>
      <c r="E262" s="10" t="s">
        <v>1103</v>
      </c>
      <c r="F262" s="10"/>
      <c r="G262" s="10"/>
      <c r="H262" s="10"/>
      <c r="I262" s="23" t="s">
        <v>1534</v>
      </c>
      <c r="J262" s="223"/>
    </row>
    <row r="263" spans="1:10" s="144" customFormat="1" ht="12.75" x14ac:dyDescent="0.25">
      <c r="A263" s="7">
        <v>525019598</v>
      </c>
      <c r="B263" s="22" t="s">
        <v>1244</v>
      </c>
      <c r="C263" s="10">
        <v>37</v>
      </c>
      <c r="D263" s="10">
        <v>4255</v>
      </c>
      <c r="E263" s="10" t="s">
        <v>175</v>
      </c>
      <c r="F263" s="25" t="s">
        <v>73</v>
      </c>
      <c r="G263" s="10"/>
      <c r="H263" s="10"/>
      <c r="I263" s="23" t="s">
        <v>47</v>
      </c>
      <c r="J263" s="223"/>
    </row>
    <row r="264" spans="1:10" s="144" customFormat="1" ht="12.75" x14ac:dyDescent="0.25">
      <c r="A264" s="7">
        <v>525019630</v>
      </c>
      <c r="B264" s="22" t="s">
        <v>982</v>
      </c>
      <c r="C264" s="10">
        <v>145</v>
      </c>
      <c r="D264" s="10">
        <v>11248</v>
      </c>
      <c r="E264" s="10" t="s">
        <v>983</v>
      </c>
      <c r="F264" s="25" t="s">
        <v>73</v>
      </c>
      <c r="G264" s="10"/>
      <c r="H264" s="10" t="s">
        <v>309</v>
      </c>
      <c r="I264" s="23" t="s">
        <v>96</v>
      </c>
      <c r="J264" s="223"/>
    </row>
    <row r="265" spans="1:10" s="144" customFormat="1" ht="12.75" x14ac:dyDescent="0.25">
      <c r="A265" s="7">
        <v>525019634</v>
      </c>
      <c r="B265" s="22" t="s">
        <v>143</v>
      </c>
      <c r="C265" s="10">
        <v>90</v>
      </c>
      <c r="D265" s="10">
        <v>2543</v>
      </c>
      <c r="E265" s="10" t="s">
        <v>91</v>
      </c>
      <c r="F265" s="25" t="s">
        <v>73</v>
      </c>
      <c r="G265" s="10"/>
      <c r="H265" s="10"/>
      <c r="I265" s="23" t="s">
        <v>145</v>
      </c>
      <c r="J265" s="223"/>
    </row>
    <row r="266" spans="1:10" s="144" customFormat="1" ht="12.75" x14ac:dyDescent="0.25">
      <c r="A266" s="20">
        <v>525020005</v>
      </c>
      <c r="B266" s="22" t="s">
        <v>144</v>
      </c>
      <c r="C266" s="10">
        <v>20</v>
      </c>
      <c r="D266" s="35">
        <v>904</v>
      </c>
      <c r="E266" s="10">
        <v>4.9000000000000004</v>
      </c>
      <c r="F266" s="25" t="s">
        <v>73</v>
      </c>
      <c r="G266" s="10"/>
      <c r="H266" s="10" t="s">
        <v>308</v>
      </c>
      <c r="I266" s="23" t="s">
        <v>145</v>
      </c>
      <c r="J266" s="223"/>
    </row>
    <row r="267" spans="1:10" s="144" customFormat="1" ht="12.75" x14ac:dyDescent="0.25">
      <c r="A267" s="7">
        <v>525020058</v>
      </c>
      <c r="B267" s="22" t="s">
        <v>146</v>
      </c>
      <c r="C267" s="10">
        <v>131</v>
      </c>
      <c r="D267" s="10">
        <v>7922</v>
      </c>
      <c r="E267" s="10">
        <v>8</v>
      </c>
      <c r="F267" s="25" t="s">
        <v>73</v>
      </c>
      <c r="G267" s="10"/>
      <c r="H267" s="10" t="s">
        <v>309</v>
      </c>
      <c r="I267" s="23" t="s">
        <v>96</v>
      </c>
      <c r="J267" s="223"/>
    </row>
    <row r="268" spans="1:10" s="144" customFormat="1" ht="12.75" x14ac:dyDescent="0.25">
      <c r="A268" s="21">
        <v>525020096</v>
      </c>
      <c r="B268" s="22" t="s">
        <v>1333</v>
      </c>
      <c r="C268" s="10" t="s">
        <v>615</v>
      </c>
      <c r="D268" s="10" t="s">
        <v>1076</v>
      </c>
      <c r="E268" s="10" t="s">
        <v>1077</v>
      </c>
      <c r="F268" s="25" t="s">
        <v>73</v>
      </c>
      <c r="G268" s="10"/>
      <c r="H268" s="10"/>
      <c r="I268" s="23" t="s">
        <v>245</v>
      </c>
      <c r="J268" s="223"/>
    </row>
    <row r="269" spans="1:10" s="144" customFormat="1" ht="12.75" x14ac:dyDescent="0.25">
      <c r="A269" s="7">
        <v>525020179</v>
      </c>
      <c r="B269" s="22" t="s">
        <v>736</v>
      </c>
      <c r="C269" s="10" t="s">
        <v>737</v>
      </c>
      <c r="D269" s="10" t="s">
        <v>738</v>
      </c>
      <c r="E269" s="10" t="s">
        <v>739</v>
      </c>
      <c r="F269" s="25" t="s">
        <v>73</v>
      </c>
      <c r="G269" s="10"/>
      <c r="H269" s="10" t="s">
        <v>388</v>
      </c>
      <c r="I269" s="23" t="s">
        <v>46</v>
      </c>
      <c r="J269" s="223"/>
    </row>
    <row r="270" spans="1:10" s="144" customFormat="1" ht="12.75" x14ac:dyDescent="0.25">
      <c r="A270" s="7">
        <v>525020254</v>
      </c>
      <c r="B270" s="22" t="s">
        <v>2264</v>
      </c>
      <c r="C270" s="10" t="s">
        <v>3367</v>
      </c>
      <c r="D270" s="10" t="s">
        <v>3366</v>
      </c>
      <c r="E270" s="10" t="s">
        <v>3368</v>
      </c>
      <c r="F270" s="25" t="s">
        <v>73</v>
      </c>
      <c r="G270" s="10"/>
      <c r="H270" s="10" t="s">
        <v>388</v>
      </c>
      <c r="I270" s="23" t="s">
        <v>46</v>
      </c>
      <c r="J270" s="223"/>
    </row>
    <row r="271" spans="1:10" s="144" customFormat="1" ht="12.75" x14ac:dyDescent="0.25">
      <c r="A271" s="7">
        <v>525020286</v>
      </c>
      <c r="B271" s="46" t="s">
        <v>696</v>
      </c>
      <c r="C271" s="10">
        <v>86</v>
      </c>
      <c r="D271" s="10">
        <v>2571</v>
      </c>
      <c r="E271" s="10">
        <v>4.3</v>
      </c>
      <c r="F271" s="25" t="s">
        <v>73</v>
      </c>
      <c r="G271" s="47"/>
      <c r="H271" s="47"/>
      <c r="I271" s="48" t="s">
        <v>172</v>
      </c>
      <c r="J271" s="223"/>
    </row>
    <row r="272" spans="1:10" s="144" customFormat="1" ht="12.75" x14ac:dyDescent="0.25">
      <c r="A272" s="7">
        <v>525020287</v>
      </c>
      <c r="B272" s="22" t="s">
        <v>1037</v>
      </c>
      <c r="C272" s="10" t="s">
        <v>920</v>
      </c>
      <c r="D272" s="10" t="s">
        <v>920</v>
      </c>
      <c r="E272" s="10" t="s">
        <v>920</v>
      </c>
      <c r="F272" s="25" t="s">
        <v>73</v>
      </c>
      <c r="G272" s="10"/>
      <c r="H272" s="10"/>
      <c r="I272" s="23" t="s">
        <v>65</v>
      </c>
      <c r="J272" s="223"/>
    </row>
    <row r="273" spans="1:10" s="144" customFormat="1" ht="12.75" x14ac:dyDescent="0.25">
      <c r="A273" s="7">
        <v>525020372</v>
      </c>
      <c r="B273" s="22" t="s">
        <v>148</v>
      </c>
      <c r="C273" s="10">
        <v>144</v>
      </c>
      <c r="D273" s="25">
        <v>11271</v>
      </c>
      <c r="E273" s="25" t="s">
        <v>112</v>
      </c>
      <c r="F273" s="25" t="s">
        <v>73</v>
      </c>
      <c r="G273" s="10"/>
      <c r="H273" s="10"/>
      <c r="I273" s="23" t="s">
        <v>96</v>
      </c>
      <c r="J273" s="223"/>
    </row>
    <row r="274" spans="1:10" s="144" customFormat="1" ht="12.75" x14ac:dyDescent="0.25">
      <c r="A274" s="7">
        <v>525021013</v>
      </c>
      <c r="B274" s="22" t="s">
        <v>494</v>
      </c>
      <c r="C274" s="10" t="s">
        <v>495</v>
      </c>
      <c r="D274" s="10" t="s">
        <v>496</v>
      </c>
      <c r="E274" s="10" t="s">
        <v>497</v>
      </c>
      <c r="F274" s="25" t="s">
        <v>73</v>
      </c>
      <c r="G274" s="10"/>
      <c r="H274" s="10"/>
      <c r="I274" s="23" t="s">
        <v>39</v>
      </c>
      <c r="J274" s="223"/>
    </row>
    <row r="275" spans="1:10" s="144" customFormat="1" ht="12.75" x14ac:dyDescent="0.25">
      <c r="A275" s="7">
        <v>525021117</v>
      </c>
      <c r="B275" s="22" t="s">
        <v>3242</v>
      </c>
      <c r="C275" s="10" t="s">
        <v>3243</v>
      </c>
      <c r="D275" s="10" t="s">
        <v>1194</v>
      </c>
      <c r="E275" s="10" t="s">
        <v>1751</v>
      </c>
      <c r="F275" s="10"/>
      <c r="G275" s="10"/>
      <c r="H275" s="10"/>
      <c r="I275" s="23" t="s">
        <v>39</v>
      </c>
      <c r="J275" s="223"/>
    </row>
    <row r="276" spans="1:10" s="144" customFormat="1" ht="12.75" x14ac:dyDescent="0.25">
      <c r="A276" s="7">
        <v>525021127</v>
      </c>
      <c r="B276" s="22" t="s">
        <v>433</v>
      </c>
      <c r="C276" s="10" t="s">
        <v>434</v>
      </c>
      <c r="D276" s="10" t="s">
        <v>435</v>
      </c>
      <c r="E276" s="10" t="s">
        <v>436</v>
      </c>
      <c r="F276" s="25" t="s">
        <v>73</v>
      </c>
      <c r="G276" s="10"/>
      <c r="H276" s="10" t="s">
        <v>432</v>
      </c>
      <c r="I276" s="23" t="s">
        <v>154</v>
      </c>
      <c r="J276" s="223"/>
    </row>
    <row r="277" spans="1:10" s="144" customFormat="1" ht="12.75" x14ac:dyDescent="0.25">
      <c r="A277" s="20">
        <v>525021226</v>
      </c>
      <c r="B277" s="22" t="s">
        <v>222</v>
      </c>
      <c r="C277" s="25" t="s">
        <v>223</v>
      </c>
      <c r="D277" s="10" t="s">
        <v>224</v>
      </c>
      <c r="E277" s="25" t="s">
        <v>225</v>
      </c>
      <c r="F277" s="25" t="s">
        <v>73</v>
      </c>
      <c r="G277" s="10"/>
      <c r="H277" s="10" t="s">
        <v>307</v>
      </c>
      <c r="I277" s="26" t="s">
        <v>39</v>
      </c>
      <c r="J277" s="223"/>
    </row>
    <row r="278" spans="1:10" s="144" customFormat="1" ht="12.75" x14ac:dyDescent="0.25">
      <c r="A278" s="7">
        <v>525021231</v>
      </c>
      <c r="B278" s="22" t="s">
        <v>775</v>
      </c>
      <c r="C278" s="10" t="s">
        <v>774</v>
      </c>
      <c r="D278" s="10" t="s">
        <v>773</v>
      </c>
      <c r="E278" s="10" t="s">
        <v>772</v>
      </c>
      <c r="F278" s="25" t="s">
        <v>73</v>
      </c>
      <c r="G278" s="10"/>
      <c r="H278" s="10"/>
      <c r="I278" s="23" t="s">
        <v>39</v>
      </c>
      <c r="J278" s="223"/>
    </row>
    <row r="279" spans="1:10" s="144" customFormat="1" ht="12.75" x14ac:dyDescent="0.25">
      <c r="A279" s="7">
        <v>525021250</v>
      </c>
      <c r="B279" s="22" t="s">
        <v>366</v>
      </c>
      <c r="C279" s="10">
        <v>117</v>
      </c>
      <c r="D279" s="10">
        <v>7757</v>
      </c>
      <c r="E279" s="10">
        <v>6.9</v>
      </c>
      <c r="F279" s="25" t="s">
        <v>73</v>
      </c>
      <c r="G279" s="10"/>
      <c r="H279" s="10" t="s">
        <v>367</v>
      </c>
      <c r="I279" s="23" t="s">
        <v>45</v>
      </c>
      <c r="J279" s="223"/>
    </row>
    <row r="280" spans="1:10" s="144" customFormat="1" ht="12.75" x14ac:dyDescent="0.25">
      <c r="A280" s="7">
        <v>525021347</v>
      </c>
      <c r="B280" s="37" t="s">
        <v>518</v>
      </c>
      <c r="C280" s="10" t="s">
        <v>519</v>
      </c>
      <c r="D280" s="10" t="s">
        <v>520</v>
      </c>
      <c r="E280" s="10" t="s">
        <v>521</v>
      </c>
      <c r="F280" s="25" t="s">
        <v>73</v>
      </c>
      <c r="G280" s="38"/>
      <c r="H280" s="38"/>
      <c r="I280" s="39" t="s">
        <v>39</v>
      </c>
      <c r="J280" s="223"/>
    </row>
    <row r="281" spans="1:10" s="144" customFormat="1" ht="12.75" x14ac:dyDescent="0.25">
      <c r="A281" s="21">
        <v>525021359</v>
      </c>
      <c r="B281" s="46" t="s">
        <v>650</v>
      </c>
      <c r="C281" s="10">
        <v>64</v>
      </c>
      <c r="D281" s="10">
        <v>617</v>
      </c>
      <c r="E281" s="10">
        <v>3.2</v>
      </c>
      <c r="F281" s="25" t="s">
        <v>73</v>
      </c>
      <c r="G281" s="47"/>
      <c r="H281" s="47"/>
      <c r="I281" s="48" t="s">
        <v>65</v>
      </c>
      <c r="J281" s="223"/>
    </row>
    <row r="282" spans="1:10" s="144" customFormat="1" ht="12.75" x14ac:dyDescent="0.25">
      <c r="A282" s="7">
        <v>525021394</v>
      </c>
      <c r="B282" s="22" t="s">
        <v>443</v>
      </c>
      <c r="C282" s="10" t="s">
        <v>3033</v>
      </c>
      <c r="D282" s="10">
        <v>2232</v>
      </c>
      <c r="E282" s="10" t="s">
        <v>1660</v>
      </c>
      <c r="F282" s="25" t="s">
        <v>73</v>
      </c>
      <c r="G282" s="10"/>
      <c r="H282" s="10" t="s">
        <v>354</v>
      </c>
      <c r="I282" s="23" t="s">
        <v>92</v>
      </c>
      <c r="J282" s="223"/>
    </row>
    <row r="283" spans="1:10" s="144" customFormat="1" ht="12.75" x14ac:dyDescent="0.25">
      <c r="A283" s="7">
        <v>525022060</v>
      </c>
      <c r="B283" s="22" t="s">
        <v>431</v>
      </c>
      <c r="C283" s="10">
        <v>68</v>
      </c>
      <c r="D283" s="10">
        <v>906</v>
      </c>
      <c r="E283" s="10" t="s">
        <v>126</v>
      </c>
      <c r="F283" s="25" t="s">
        <v>73</v>
      </c>
      <c r="G283" s="10"/>
      <c r="H283" s="10" t="s">
        <v>368</v>
      </c>
      <c r="I283" s="23" t="s">
        <v>150</v>
      </c>
      <c r="J283" s="223"/>
    </row>
    <row r="284" spans="1:10" s="144" customFormat="1" ht="12.75" x14ac:dyDescent="0.25">
      <c r="A284" s="7">
        <v>525022079</v>
      </c>
      <c r="B284" s="37" t="s">
        <v>460</v>
      </c>
      <c r="C284" s="10" t="s">
        <v>464</v>
      </c>
      <c r="D284" s="10" t="s">
        <v>465</v>
      </c>
      <c r="E284" s="10">
        <v>44654</v>
      </c>
      <c r="F284" s="25" t="s">
        <v>73</v>
      </c>
      <c r="G284" s="38"/>
      <c r="H284" s="38"/>
      <c r="I284" s="39" t="s">
        <v>248</v>
      </c>
      <c r="J284" s="223"/>
    </row>
    <row r="285" spans="1:10" s="144" customFormat="1" ht="12.75" x14ac:dyDescent="0.25">
      <c r="A285" s="7">
        <v>525022092</v>
      </c>
      <c r="B285" s="22" t="s">
        <v>315</v>
      </c>
      <c r="C285" s="10" t="s">
        <v>319</v>
      </c>
      <c r="D285" s="10">
        <v>4131</v>
      </c>
      <c r="E285" s="10" t="s">
        <v>320</v>
      </c>
      <c r="F285" s="25" t="s">
        <v>73</v>
      </c>
      <c r="G285" s="10"/>
      <c r="H285" s="38" t="s">
        <v>451</v>
      </c>
      <c r="I285" s="23" t="s">
        <v>41</v>
      </c>
      <c r="J285" s="223"/>
    </row>
    <row r="286" spans="1:10" s="144" customFormat="1" ht="12.75" x14ac:dyDescent="0.25">
      <c r="A286" s="7">
        <v>525022094</v>
      </c>
      <c r="B286" s="46" t="s">
        <v>853</v>
      </c>
      <c r="C286" s="25" t="s">
        <v>854</v>
      </c>
      <c r="D286" s="25" t="s">
        <v>608</v>
      </c>
      <c r="E286" s="25" t="s">
        <v>855</v>
      </c>
      <c r="F286" s="25" t="s">
        <v>73</v>
      </c>
      <c r="G286" s="47"/>
      <c r="H286" s="47"/>
      <c r="I286" s="50" t="s">
        <v>249</v>
      </c>
      <c r="J286" s="223"/>
    </row>
    <row r="287" spans="1:10" s="144" customFormat="1" ht="12.75" x14ac:dyDescent="0.25">
      <c r="A287" s="7">
        <v>525022095</v>
      </c>
      <c r="B287" s="22" t="s">
        <v>5222</v>
      </c>
      <c r="C287" s="10" t="s">
        <v>474</v>
      </c>
      <c r="D287" s="10" t="s">
        <v>475</v>
      </c>
      <c r="E287" s="10" t="s">
        <v>476</v>
      </c>
      <c r="F287" s="25" t="s">
        <v>73</v>
      </c>
      <c r="G287" s="38"/>
      <c r="H287" s="38" t="s">
        <v>451</v>
      </c>
      <c r="I287" s="23" t="s">
        <v>41</v>
      </c>
      <c r="J287" s="223"/>
    </row>
    <row r="288" spans="1:10" s="144" customFormat="1" ht="12.75" x14ac:dyDescent="0.25">
      <c r="A288" s="7">
        <v>525022099</v>
      </c>
      <c r="B288" s="46" t="s">
        <v>610</v>
      </c>
      <c r="C288" s="10" t="s">
        <v>1651</v>
      </c>
      <c r="D288" s="10" t="s">
        <v>608</v>
      </c>
      <c r="E288" s="10" t="s">
        <v>1657</v>
      </c>
      <c r="F288" s="25" t="s">
        <v>73</v>
      </c>
      <c r="G288" s="47"/>
      <c r="H288" s="47"/>
      <c r="I288" s="23" t="s">
        <v>249</v>
      </c>
      <c r="J288" s="223"/>
    </row>
    <row r="289" spans="1:10" s="144" customFormat="1" ht="12.75" x14ac:dyDescent="0.25">
      <c r="A289" s="20">
        <v>525022112</v>
      </c>
      <c r="B289" s="22" t="s">
        <v>1245</v>
      </c>
      <c r="C289" s="25" t="s">
        <v>299</v>
      </c>
      <c r="D289" s="25" t="s">
        <v>210</v>
      </c>
      <c r="E289" s="25" t="s">
        <v>300</v>
      </c>
      <c r="F289" s="25" t="s">
        <v>73</v>
      </c>
      <c r="G289" s="10"/>
      <c r="H289" s="10"/>
      <c r="I289" s="26" t="s">
        <v>41</v>
      </c>
      <c r="J289" s="223"/>
    </row>
    <row r="290" spans="1:10" s="144" customFormat="1" ht="12.75" x14ac:dyDescent="0.25">
      <c r="A290" s="7">
        <v>525022129</v>
      </c>
      <c r="B290" s="22" t="s">
        <v>959</v>
      </c>
      <c r="C290" s="10">
        <v>80</v>
      </c>
      <c r="D290" s="10">
        <v>1958</v>
      </c>
      <c r="E290" s="10">
        <v>4.5</v>
      </c>
      <c r="F290" s="25" t="s">
        <v>73</v>
      </c>
      <c r="G290" s="10"/>
      <c r="H290" s="10"/>
      <c r="I290" s="23" t="s">
        <v>963</v>
      </c>
      <c r="J290" s="223"/>
    </row>
    <row r="291" spans="1:10" s="144" customFormat="1" ht="12.75" x14ac:dyDescent="0.25">
      <c r="A291" s="7">
        <v>525022187</v>
      </c>
      <c r="B291" s="22" t="s">
        <v>149</v>
      </c>
      <c r="C291" s="25">
        <v>68</v>
      </c>
      <c r="D291" s="25">
        <v>1031</v>
      </c>
      <c r="E291" s="25">
        <v>4.2</v>
      </c>
      <c r="F291" s="25" t="s">
        <v>73</v>
      </c>
      <c r="G291" s="25"/>
      <c r="H291" s="25" t="s">
        <v>368</v>
      </c>
      <c r="I291" s="26" t="s">
        <v>150</v>
      </c>
      <c r="J291" s="223"/>
    </row>
    <row r="292" spans="1:10" s="144" customFormat="1" ht="12.75" x14ac:dyDescent="0.25">
      <c r="A292" s="7">
        <v>525022201</v>
      </c>
      <c r="B292" s="22" t="s">
        <v>731</v>
      </c>
      <c r="C292" s="10" t="s">
        <v>732</v>
      </c>
      <c r="D292" s="10" t="s">
        <v>733</v>
      </c>
      <c r="E292" s="10" t="s">
        <v>734</v>
      </c>
      <c r="F292" s="25" t="s">
        <v>73</v>
      </c>
      <c r="G292" s="10"/>
      <c r="H292" s="10"/>
      <c r="I292" s="23" t="s">
        <v>39</v>
      </c>
      <c r="J292" s="223"/>
    </row>
    <row r="293" spans="1:10" s="144" customFormat="1" ht="12.75" x14ac:dyDescent="0.25">
      <c r="A293" s="7">
        <v>525022260</v>
      </c>
      <c r="B293" s="22" t="s">
        <v>370</v>
      </c>
      <c r="C293" s="10" t="s">
        <v>452</v>
      </c>
      <c r="D293" s="10" t="s">
        <v>453</v>
      </c>
      <c r="E293" s="10" t="s">
        <v>454</v>
      </c>
      <c r="F293" s="25" t="s">
        <v>73</v>
      </c>
      <c r="G293" s="10"/>
      <c r="H293" s="10"/>
      <c r="I293" s="23" t="s">
        <v>39</v>
      </c>
      <c r="J293" s="223"/>
    </row>
    <row r="294" spans="1:10" s="144" customFormat="1" ht="12.75" x14ac:dyDescent="0.25">
      <c r="A294" s="17">
        <v>525022279</v>
      </c>
      <c r="B294" s="22" t="s">
        <v>3241</v>
      </c>
      <c r="C294" s="10" t="s">
        <v>3054</v>
      </c>
      <c r="D294" s="10" t="s">
        <v>3055</v>
      </c>
      <c r="E294" s="10" t="s">
        <v>1846</v>
      </c>
      <c r="F294" s="25" t="s">
        <v>73</v>
      </c>
      <c r="G294" s="10"/>
      <c r="H294" s="10" t="s">
        <v>388</v>
      </c>
      <c r="I294" s="23" t="s">
        <v>249</v>
      </c>
      <c r="J294" s="223"/>
    </row>
    <row r="295" spans="1:10" s="144" customFormat="1" ht="12.75" x14ac:dyDescent="0.25">
      <c r="A295" s="17">
        <v>525022316</v>
      </c>
      <c r="B295" s="22" t="s">
        <v>776</v>
      </c>
      <c r="C295" s="25">
        <v>68</v>
      </c>
      <c r="D295" s="25">
        <v>1358</v>
      </c>
      <c r="E295" s="25" t="s">
        <v>766</v>
      </c>
      <c r="F295" s="25" t="s">
        <v>73</v>
      </c>
      <c r="G295" s="47"/>
      <c r="H295" s="47"/>
      <c r="I295" s="26" t="s">
        <v>920</v>
      </c>
      <c r="J295" s="223"/>
    </row>
    <row r="296" spans="1:10" s="144" customFormat="1" ht="12.75" x14ac:dyDescent="0.25">
      <c r="A296" s="17">
        <v>525022357</v>
      </c>
      <c r="B296" s="22" t="s">
        <v>953</v>
      </c>
      <c r="C296" s="10">
        <v>98</v>
      </c>
      <c r="D296" s="10">
        <v>5551</v>
      </c>
      <c r="E296" s="10" t="s">
        <v>135</v>
      </c>
      <c r="F296" s="25" t="s">
        <v>73</v>
      </c>
      <c r="G296" s="10"/>
      <c r="H296" s="10"/>
      <c r="I296" s="23" t="s">
        <v>1036</v>
      </c>
      <c r="J296" s="223"/>
    </row>
    <row r="297" spans="1:10" s="144" customFormat="1" ht="12.75" x14ac:dyDescent="0.25">
      <c r="A297" s="17">
        <v>525022370</v>
      </c>
      <c r="B297" s="37" t="s">
        <v>531</v>
      </c>
      <c r="C297" s="10">
        <v>89.5</v>
      </c>
      <c r="D297" s="10">
        <v>2003</v>
      </c>
      <c r="E297" s="10">
        <v>4.5999999999999996</v>
      </c>
      <c r="F297" s="25" t="s">
        <v>73</v>
      </c>
      <c r="G297" s="38"/>
      <c r="H297" s="38"/>
      <c r="I297" s="39" t="s">
        <v>39</v>
      </c>
      <c r="J297" s="223"/>
    </row>
    <row r="298" spans="1:10" s="144" customFormat="1" ht="12.75" x14ac:dyDescent="0.25">
      <c r="A298" s="7">
        <v>525022391</v>
      </c>
      <c r="B298" s="22" t="s">
        <v>1139</v>
      </c>
      <c r="C298" s="10">
        <v>160</v>
      </c>
      <c r="D298" s="10">
        <v>9479</v>
      </c>
      <c r="E298" s="10" t="s">
        <v>141</v>
      </c>
      <c r="F298" s="25" t="s">
        <v>73</v>
      </c>
      <c r="G298" s="10"/>
      <c r="H298" s="10"/>
      <c r="I298" s="23" t="s">
        <v>48</v>
      </c>
      <c r="J298" s="223"/>
    </row>
    <row r="299" spans="1:10" s="144" customFormat="1" ht="12.75" x14ac:dyDescent="0.25">
      <c r="A299" s="17">
        <v>525023082</v>
      </c>
      <c r="B299" s="22" t="s">
        <v>151</v>
      </c>
      <c r="C299" s="10">
        <v>70</v>
      </c>
      <c r="D299" s="10">
        <v>911</v>
      </c>
      <c r="E299" s="10">
        <v>5</v>
      </c>
      <c r="F299" s="25" t="s">
        <v>73</v>
      </c>
      <c r="G299" s="10"/>
      <c r="H299" s="10"/>
      <c r="I299" s="23" t="s">
        <v>153</v>
      </c>
      <c r="J299" s="223"/>
    </row>
    <row r="300" spans="1:10" s="144" customFormat="1" ht="12.75" x14ac:dyDescent="0.25">
      <c r="A300" s="7">
        <v>525023104</v>
      </c>
      <c r="B300" s="22" t="s">
        <v>152</v>
      </c>
      <c r="C300" s="10">
        <v>62.8</v>
      </c>
      <c r="D300" s="10">
        <v>947</v>
      </c>
      <c r="E300" s="10">
        <v>2.4</v>
      </c>
      <c r="F300" s="25" t="s">
        <v>73</v>
      </c>
      <c r="G300" s="25"/>
      <c r="H300" s="25"/>
      <c r="I300" s="23" t="s">
        <v>153</v>
      </c>
      <c r="J300" s="223"/>
    </row>
    <row r="301" spans="1:10" s="144" customFormat="1" ht="12.75" x14ac:dyDescent="0.25">
      <c r="A301" s="17">
        <v>525023117</v>
      </c>
      <c r="B301" s="22" t="s">
        <v>3708</v>
      </c>
      <c r="C301" s="10" t="s">
        <v>3709</v>
      </c>
      <c r="D301" s="10" t="s">
        <v>3710</v>
      </c>
      <c r="E301" s="10" t="s">
        <v>1575</v>
      </c>
      <c r="F301" s="25" t="s">
        <v>73</v>
      </c>
      <c r="G301" s="47"/>
      <c r="H301" s="47"/>
      <c r="I301" s="48" t="s">
        <v>39</v>
      </c>
      <c r="J301" s="223"/>
    </row>
    <row r="302" spans="1:10" s="144" customFormat="1" ht="12.75" x14ac:dyDescent="0.25">
      <c r="A302" s="66">
        <v>525023125</v>
      </c>
      <c r="B302" s="22" t="s">
        <v>3751</v>
      </c>
      <c r="C302" s="25" t="s">
        <v>3752</v>
      </c>
      <c r="D302" s="25" t="s">
        <v>3753</v>
      </c>
      <c r="E302" s="25" t="s">
        <v>3695</v>
      </c>
      <c r="F302" s="25" t="s">
        <v>73</v>
      </c>
      <c r="G302" s="10"/>
      <c r="H302" s="10" t="s">
        <v>388</v>
      </c>
      <c r="I302" s="26" t="s">
        <v>46</v>
      </c>
      <c r="J302" s="223"/>
    </row>
    <row r="303" spans="1:10" s="144" customFormat="1" ht="12.75" x14ac:dyDescent="0.25">
      <c r="A303" s="17">
        <v>525023126</v>
      </c>
      <c r="B303" s="22" t="s">
        <v>490</v>
      </c>
      <c r="C303" s="10" t="s">
        <v>491</v>
      </c>
      <c r="D303" s="10" t="s">
        <v>482</v>
      </c>
      <c r="E303" s="40" t="s">
        <v>492</v>
      </c>
      <c r="F303" s="25" t="s">
        <v>73</v>
      </c>
      <c r="G303" s="10"/>
      <c r="H303" s="10" t="s">
        <v>388</v>
      </c>
      <c r="I303" s="23" t="s">
        <v>46</v>
      </c>
      <c r="J303" s="223"/>
    </row>
    <row r="304" spans="1:10" s="144" customFormat="1" ht="12.75" x14ac:dyDescent="0.25">
      <c r="A304" s="21">
        <v>525023133</v>
      </c>
      <c r="B304" s="22" t="s">
        <v>975</v>
      </c>
      <c r="C304" s="10">
        <v>189</v>
      </c>
      <c r="D304" s="10">
        <v>26059</v>
      </c>
      <c r="E304" s="10" t="s">
        <v>851</v>
      </c>
      <c r="F304" s="25" t="s">
        <v>73</v>
      </c>
      <c r="G304" s="10"/>
      <c r="H304" s="10"/>
      <c r="I304" s="23" t="s">
        <v>892</v>
      </c>
      <c r="J304" s="223"/>
    </row>
    <row r="305" spans="1:10" s="144" customFormat="1" ht="12.75" x14ac:dyDescent="0.25">
      <c r="A305" s="7">
        <v>525023155</v>
      </c>
      <c r="B305" s="22" t="s">
        <v>2015</v>
      </c>
      <c r="C305" s="10">
        <v>110</v>
      </c>
      <c r="D305" s="35">
        <v>4487</v>
      </c>
      <c r="E305" s="10" t="s">
        <v>164</v>
      </c>
      <c r="F305" s="25" t="s">
        <v>73</v>
      </c>
      <c r="G305" s="10"/>
      <c r="H305" s="10"/>
      <c r="I305" s="26" t="s">
        <v>245</v>
      </c>
      <c r="J305" s="223"/>
    </row>
    <row r="306" spans="1:10" s="144" customFormat="1" ht="12.75" x14ac:dyDescent="0.25">
      <c r="A306" s="7">
        <v>525023157</v>
      </c>
      <c r="B306" s="46" t="s">
        <v>868</v>
      </c>
      <c r="C306" s="25" t="s">
        <v>1078</v>
      </c>
      <c r="D306" s="25" t="s">
        <v>1079</v>
      </c>
      <c r="E306" s="25" t="s">
        <v>1080</v>
      </c>
      <c r="F306" s="25" t="s">
        <v>73</v>
      </c>
      <c r="G306" s="47"/>
      <c r="H306" s="47"/>
      <c r="I306" s="50" t="s">
        <v>39</v>
      </c>
      <c r="J306" s="223"/>
    </row>
    <row r="307" spans="1:10" s="144" customFormat="1" ht="12.75" x14ac:dyDescent="0.25">
      <c r="A307" s="7">
        <v>525023197</v>
      </c>
      <c r="B307" s="22" t="s">
        <v>1904</v>
      </c>
      <c r="C307" s="10" t="s">
        <v>3267</v>
      </c>
      <c r="D307" s="10" t="s">
        <v>992</v>
      </c>
      <c r="E307" s="10" t="s">
        <v>1343</v>
      </c>
      <c r="F307" s="25" t="s">
        <v>73</v>
      </c>
      <c r="G307" s="10"/>
      <c r="H307" s="10"/>
      <c r="I307" s="23" t="s">
        <v>1534</v>
      </c>
      <c r="J307" s="223"/>
    </row>
    <row r="308" spans="1:10" s="144" customFormat="1" ht="12.75" x14ac:dyDescent="0.25">
      <c r="A308" s="7">
        <v>525023207</v>
      </c>
      <c r="B308" s="46" t="s">
        <v>634</v>
      </c>
      <c r="C308" s="10" t="s">
        <v>635</v>
      </c>
      <c r="D308" s="10" t="s">
        <v>636</v>
      </c>
      <c r="E308" s="10" t="s">
        <v>637</v>
      </c>
      <c r="F308" s="25" t="s">
        <v>73</v>
      </c>
      <c r="G308" s="47"/>
      <c r="H308" s="10" t="s">
        <v>388</v>
      </c>
      <c r="I308" s="48" t="s">
        <v>46</v>
      </c>
      <c r="J308" s="223"/>
    </row>
    <row r="309" spans="1:10" s="144" customFormat="1" ht="12.75" x14ac:dyDescent="0.25">
      <c r="A309" s="20">
        <v>525023208</v>
      </c>
      <c r="B309" s="22" t="s">
        <v>3467</v>
      </c>
      <c r="C309" s="10" t="s">
        <v>3468</v>
      </c>
      <c r="D309" s="25" t="s">
        <v>3469</v>
      </c>
      <c r="E309" s="25" t="s">
        <v>3345</v>
      </c>
      <c r="F309" s="25" t="s">
        <v>73</v>
      </c>
      <c r="G309" s="10"/>
      <c r="H309" s="10" t="s">
        <v>388</v>
      </c>
      <c r="I309" s="26" t="s">
        <v>46</v>
      </c>
      <c r="J309" s="223"/>
    </row>
    <row r="310" spans="1:10" s="144" customFormat="1" ht="12.75" x14ac:dyDescent="0.25">
      <c r="A310" s="7">
        <v>525023282</v>
      </c>
      <c r="B310" s="22" t="s">
        <v>2051</v>
      </c>
      <c r="C310" s="10" t="s">
        <v>1169</v>
      </c>
      <c r="D310" s="10" t="s">
        <v>1170</v>
      </c>
      <c r="E310" s="10" t="s">
        <v>1171</v>
      </c>
      <c r="F310" s="10"/>
      <c r="G310" s="10"/>
      <c r="H310" s="10" t="s">
        <v>388</v>
      </c>
      <c r="I310" s="23" t="s">
        <v>46</v>
      </c>
      <c r="J310" s="223"/>
    </row>
    <row r="311" spans="1:10" s="144" customFormat="1" ht="12.75" x14ac:dyDescent="0.25">
      <c r="A311" s="7">
        <v>525023283</v>
      </c>
      <c r="B311" s="22" t="s">
        <v>254</v>
      </c>
      <c r="C311" s="25" t="s">
        <v>255</v>
      </c>
      <c r="D311" s="25" t="s">
        <v>256</v>
      </c>
      <c r="E311" s="25" t="s">
        <v>257</v>
      </c>
      <c r="F311" s="25" t="s">
        <v>73</v>
      </c>
      <c r="G311" s="10"/>
      <c r="H311" s="10" t="s">
        <v>388</v>
      </c>
      <c r="I311" s="26" t="s">
        <v>46</v>
      </c>
      <c r="J311" s="223"/>
    </row>
    <row r="312" spans="1:10" s="144" customFormat="1" ht="12.75" x14ac:dyDescent="0.25">
      <c r="A312" s="7">
        <v>525023295</v>
      </c>
      <c r="B312" s="22" t="s">
        <v>3671</v>
      </c>
      <c r="C312" s="10" t="s">
        <v>524</v>
      </c>
      <c r="D312" s="10" t="s">
        <v>275</v>
      </c>
      <c r="E312" s="10" t="s">
        <v>3664</v>
      </c>
      <c r="F312" s="25" t="s">
        <v>73</v>
      </c>
      <c r="G312" s="10"/>
      <c r="H312" s="10" t="s">
        <v>388</v>
      </c>
      <c r="I312" s="23" t="s">
        <v>3026</v>
      </c>
      <c r="J312" s="223"/>
    </row>
    <row r="313" spans="1:10" s="144" customFormat="1" ht="12.75" x14ac:dyDescent="0.25">
      <c r="A313" s="7">
        <v>525023303</v>
      </c>
      <c r="B313" s="37" t="s">
        <v>580</v>
      </c>
      <c r="C313" s="25" t="s">
        <v>691</v>
      </c>
      <c r="D313" s="25" t="s">
        <v>692</v>
      </c>
      <c r="E313" s="25" t="s">
        <v>715</v>
      </c>
      <c r="F313" s="25" t="s">
        <v>73</v>
      </c>
      <c r="G313" s="38"/>
      <c r="H313" s="10" t="s">
        <v>388</v>
      </c>
      <c r="I313" s="39" t="s">
        <v>46</v>
      </c>
      <c r="J313" s="223"/>
    </row>
    <row r="314" spans="1:10" s="144" customFormat="1" ht="12.75" x14ac:dyDescent="0.25">
      <c r="A314" s="7">
        <v>525023319</v>
      </c>
      <c r="B314" s="22" t="s">
        <v>1210</v>
      </c>
      <c r="C314" s="10" t="s">
        <v>1211</v>
      </c>
      <c r="D314" s="10" t="s">
        <v>1212</v>
      </c>
      <c r="E314" s="25" t="s">
        <v>1213</v>
      </c>
      <c r="F314" s="10"/>
      <c r="G314" s="10"/>
      <c r="H314" s="10"/>
      <c r="I314" s="23" t="s">
        <v>92</v>
      </c>
      <c r="J314" s="223"/>
    </row>
    <row r="315" spans="1:10" s="144" customFormat="1" ht="12.75" x14ac:dyDescent="0.25">
      <c r="A315" s="21">
        <v>525023368</v>
      </c>
      <c r="B315" s="22" t="s">
        <v>1246</v>
      </c>
      <c r="C315" s="10" t="s">
        <v>735</v>
      </c>
      <c r="D315" s="10">
        <v>1135</v>
      </c>
      <c r="E315" s="10" t="s">
        <v>764</v>
      </c>
      <c r="F315" s="25" t="s">
        <v>73</v>
      </c>
      <c r="G315" s="10"/>
      <c r="H315" s="10"/>
      <c r="I315" s="23" t="s">
        <v>39</v>
      </c>
      <c r="J315" s="223"/>
    </row>
    <row r="316" spans="1:10" s="144" customFormat="1" ht="12.75" x14ac:dyDescent="0.25">
      <c r="A316" s="21">
        <v>525023376</v>
      </c>
      <c r="B316" s="46" t="s">
        <v>614</v>
      </c>
      <c r="C316" s="10" t="s">
        <v>3247</v>
      </c>
      <c r="D316" s="10" t="s">
        <v>3248</v>
      </c>
      <c r="E316" s="10" t="s">
        <v>1060</v>
      </c>
      <c r="F316" s="25" t="s">
        <v>73</v>
      </c>
      <c r="G316" s="47"/>
      <c r="H316" s="10" t="s">
        <v>388</v>
      </c>
      <c r="I316" s="48" t="s">
        <v>46</v>
      </c>
      <c r="J316" s="223"/>
    </row>
    <row r="317" spans="1:10" s="144" customFormat="1" ht="12.75" x14ac:dyDescent="0.25">
      <c r="A317" s="21">
        <v>525023382</v>
      </c>
      <c r="B317" s="22" t="s">
        <v>274</v>
      </c>
      <c r="C317" s="10" t="s">
        <v>3129</v>
      </c>
      <c r="D317" s="10" t="s">
        <v>3130</v>
      </c>
      <c r="E317" s="10" t="s">
        <v>3131</v>
      </c>
      <c r="F317" s="25" t="s">
        <v>73</v>
      </c>
      <c r="G317" s="10" t="s">
        <v>277</v>
      </c>
      <c r="H317" s="10" t="s">
        <v>388</v>
      </c>
      <c r="I317" s="23" t="s">
        <v>46</v>
      </c>
      <c r="J317" s="223"/>
    </row>
    <row r="318" spans="1:10" s="144" customFormat="1" ht="12.75" x14ac:dyDescent="0.25">
      <c r="A318" s="21">
        <v>525023417</v>
      </c>
      <c r="B318" s="37" t="s">
        <v>549</v>
      </c>
      <c r="C318" s="10">
        <v>72.91</v>
      </c>
      <c r="D318" s="10">
        <v>1265</v>
      </c>
      <c r="E318" s="10">
        <v>4.7</v>
      </c>
      <c r="F318" s="25" t="s">
        <v>73</v>
      </c>
      <c r="G318" s="38" t="s">
        <v>550</v>
      </c>
      <c r="H318" s="38" t="s">
        <v>307</v>
      </c>
      <c r="I318" s="39" t="s">
        <v>39</v>
      </c>
      <c r="J318" s="223"/>
    </row>
    <row r="319" spans="1:10" s="144" customFormat="1" ht="12.75" x14ac:dyDescent="0.25">
      <c r="A319" s="21">
        <v>525024171</v>
      </c>
      <c r="B319" s="22" t="s">
        <v>1054</v>
      </c>
      <c r="C319" s="10" t="s">
        <v>478</v>
      </c>
      <c r="D319" s="10" t="s">
        <v>1055</v>
      </c>
      <c r="E319" s="10" t="s">
        <v>1056</v>
      </c>
      <c r="F319" s="25" t="s">
        <v>73</v>
      </c>
      <c r="G319" s="10"/>
      <c r="H319" s="10"/>
      <c r="I319" s="23" t="s">
        <v>41</v>
      </c>
      <c r="J319" s="223"/>
    </row>
    <row r="320" spans="1:10" s="144" customFormat="1" ht="12.75" x14ac:dyDescent="0.25">
      <c r="A320" s="21">
        <v>525024172</v>
      </c>
      <c r="B320" s="37" t="s">
        <v>473</v>
      </c>
      <c r="C320" s="10" t="s">
        <v>478</v>
      </c>
      <c r="D320" s="10" t="s">
        <v>477</v>
      </c>
      <c r="E320" s="10" t="s">
        <v>1658</v>
      </c>
      <c r="F320" s="25" t="s">
        <v>73</v>
      </c>
      <c r="G320" s="38"/>
      <c r="H320" s="38" t="s">
        <v>451</v>
      </c>
      <c r="I320" s="39" t="s">
        <v>41</v>
      </c>
      <c r="J320" s="223"/>
    </row>
    <row r="321" spans="1:10" s="144" customFormat="1" ht="12.75" x14ac:dyDescent="0.25">
      <c r="A321" s="21">
        <v>525024173</v>
      </c>
      <c r="B321" s="22" t="s">
        <v>2058</v>
      </c>
      <c r="C321" s="25" t="s">
        <v>808</v>
      </c>
      <c r="D321" s="25" t="s">
        <v>809</v>
      </c>
      <c r="E321" s="25" t="s">
        <v>810</v>
      </c>
      <c r="F321" s="25" t="s">
        <v>73</v>
      </c>
      <c r="G321" s="47"/>
      <c r="H321" s="47"/>
      <c r="I321" s="26" t="s">
        <v>2059</v>
      </c>
      <c r="J321" s="223"/>
    </row>
    <row r="322" spans="1:10" s="144" customFormat="1" ht="12.75" x14ac:dyDescent="0.25">
      <c r="A322" s="21">
        <v>525024250</v>
      </c>
      <c r="B322" s="22" t="s">
        <v>994</v>
      </c>
      <c r="C322" s="10">
        <v>76</v>
      </c>
      <c r="D322" s="10">
        <v>1453</v>
      </c>
      <c r="E322" s="10" t="s">
        <v>995</v>
      </c>
      <c r="F322" s="25" t="s">
        <v>73</v>
      </c>
      <c r="G322" s="10"/>
      <c r="H322" s="10"/>
      <c r="I322" s="23" t="s">
        <v>996</v>
      </c>
      <c r="J322" s="223"/>
    </row>
    <row r="323" spans="1:10" s="144" customFormat="1" ht="12.75" x14ac:dyDescent="0.25">
      <c r="A323" s="21">
        <v>525024251</v>
      </c>
      <c r="B323" s="22" t="s">
        <v>962</v>
      </c>
      <c r="C323" s="10">
        <v>89</v>
      </c>
      <c r="D323" s="10">
        <v>2571</v>
      </c>
      <c r="E323" s="10">
        <v>2.5</v>
      </c>
      <c r="F323" s="25" t="s">
        <v>73</v>
      </c>
      <c r="G323" s="10"/>
      <c r="H323" s="10"/>
      <c r="I323" s="23" t="s">
        <v>1584</v>
      </c>
      <c r="J323" s="223"/>
    </row>
    <row r="324" spans="1:10" s="144" customFormat="1" ht="12.75" x14ac:dyDescent="0.25">
      <c r="A324" s="7">
        <v>525024271</v>
      </c>
      <c r="B324" s="22" t="s">
        <v>2591</v>
      </c>
      <c r="C324" s="10" t="s">
        <v>621</v>
      </c>
      <c r="D324" s="10" t="s">
        <v>622</v>
      </c>
      <c r="E324" s="10" t="s">
        <v>623</v>
      </c>
      <c r="F324" s="25" t="s">
        <v>73</v>
      </c>
      <c r="G324" s="38"/>
      <c r="H324" s="38"/>
      <c r="I324" s="23" t="s">
        <v>39</v>
      </c>
      <c r="J324" s="223"/>
    </row>
    <row r="325" spans="1:10" s="144" customFormat="1" ht="12.75" x14ac:dyDescent="0.25">
      <c r="A325" s="7">
        <v>525024365</v>
      </c>
      <c r="B325" s="22" t="s">
        <v>562</v>
      </c>
      <c r="C325" s="10" t="s">
        <v>464</v>
      </c>
      <c r="D325" s="10" t="s">
        <v>570</v>
      </c>
      <c r="E325" s="10" t="s">
        <v>571</v>
      </c>
      <c r="F325" s="25" t="s">
        <v>73</v>
      </c>
      <c r="G325" s="38"/>
      <c r="H325" s="38"/>
      <c r="I325" s="23" t="s">
        <v>245</v>
      </c>
      <c r="J325" s="223"/>
    </row>
    <row r="326" spans="1:10" s="144" customFormat="1" ht="12.75" x14ac:dyDescent="0.25">
      <c r="A326" s="20">
        <v>525024372</v>
      </c>
      <c r="B326" s="22" t="s">
        <v>351</v>
      </c>
      <c r="C326" s="25">
        <v>108</v>
      </c>
      <c r="D326" s="25">
        <v>5678</v>
      </c>
      <c r="E326" s="25" t="s">
        <v>106</v>
      </c>
      <c r="F326" s="25" t="s">
        <v>73</v>
      </c>
      <c r="G326" s="10"/>
      <c r="H326" s="10"/>
      <c r="I326" s="26" t="s">
        <v>42</v>
      </c>
      <c r="J326" s="223"/>
    </row>
    <row r="327" spans="1:10" s="144" customFormat="1" ht="12.75" x14ac:dyDescent="0.25">
      <c r="A327" s="7">
        <v>525025036</v>
      </c>
      <c r="B327" s="22" t="s">
        <v>3644</v>
      </c>
      <c r="C327" s="10" t="s">
        <v>3854</v>
      </c>
      <c r="D327" s="10" t="s">
        <v>3855</v>
      </c>
      <c r="E327" s="10" t="s">
        <v>3853</v>
      </c>
      <c r="F327" s="38" t="s">
        <v>73</v>
      </c>
      <c r="G327" s="38"/>
      <c r="H327" s="38" t="s">
        <v>451</v>
      </c>
      <c r="I327" s="39" t="s">
        <v>41</v>
      </c>
      <c r="J327" s="223"/>
    </row>
    <row r="328" spans="1:10" s="144" customFormat="1" ht="12.75" x14ac:dyDescent="0.25">
      <c r="A328" s="7">
        <v>525025082</v>
      </c>
      <c r="B328" s="22" t="s">
        <v>350</v>
      </c>
      <c r="C328" s="10">
        <v>162</v>
      </c>
      <c r="D328" s="10">
        <v>13444</v>
      </c>
      <c r="E328" s="10">
        <v>6.4</v>
      </c>
      <c r="F328" s="25" t="s">
        <v>73</v>
      </c>
      <c r="G328" s="10"/>
      <c r="H328" s="10" t="s">
        <v>312</v>
      </c>
      <c r="I328" s="23" t="s">
        <v>268</v>
      </c>
      <c r="J328" s="223"/>
    </row>
    <row r="329" spans="1:10" s="144" customFormat="1" ht="12.75" x14ac:dyDescent="0.25">
      <c r="A329" s="21">
        <v>525025087</v>
      </c>
      <c r="B329" s="22" t="s">
        <v>727</v>
      </c>
      <c r="C329" s="10" t="s">
        <v>728</v>
      </c>
      <c r="D329" s="10" t="s">
        <v>729</v>
      </c>
      <c r="E329" s="10" t="s">
        <v>730</v>
      </c>
      <c r="F329" s="25" t="s">
        <v>73</v>
      </c>
      <c r="G329" s="10"/>
      <c r="H329" s="10"/>
      <c r="I329" s="23" t="s">
        <v>41</v>
      </c>
      <c r="J329" s="223"/>
    </row>
    <row r="330" spans="1:10" s="144" customFormat="1" ht="12.75" x14ac:dyDescent="0.25">
      <c r="A330" s="7">
        <v>525029283</v>
      </c>
      <c r="B330" s="22" t="s">
        <v>420</v>
      </c>
      <c r="C330" s="10" t="s">
        <v>425</v>
      </c>
      <c r="D330" s="10" t="s">
        <v>256</v>
      </c>
      <c r="E330" s="40" t="s">
        <v>424</v>
      </c>
      <c r="F330" s="25" t="s">
        <v>73</v>
      </c>
      <c r="G330" s="10"/>
      <c r="H330" s="10" t="s">
        <v>388</v>
      </c>
      <c r="I330" s="23" t="s">
        <v>46</v>
      </c>
      <c r="J330" s="223"/>
    </row>
    <row r="331" spans="1:10" s="144" customFormat="1" ht="12.75" x14ac:dyDescent="0.25">
      <c r="A331" s="21">
        <v>525072382</v>
      </c>
      <c r="B331" s="22" t="s">
        <v>349</v>
      </c>
      <c r="C331" s="10">
        <v>62</v>
      </c>
      <c r="D331" s="10"/>
      <c r="E331" s="10">
        <v>3.5</v>
      </c>
      <c r="F331" s="25" t="s">
        <v>73</v>
      </c>
      <c r="G331" s="10"/>
      <c r="H331" s="10"/>
      <c r="I331" s="23" t="s">
        <v>259</v>
      </c>
      <c r="J331" s="223"/>
    </row>
    <row r="332" spans="1:10" s="144" customFormat="1" ht="12.75" x14ac:dyDescent="0.25">
      <c r="A332" s="21">
        <v>525100001</v>
      </c>
      <c r="B332" s="46" t="s">
        <v>642</v>
      </c>
      <c r="C332" s="10" t="s">
        <v>643</v>
      </c>
      <c r="D332" s="10" t="s">
        <v>317</v>
      </c>
      <c r="E332" s="10" t="s">
        <v>644</v>
      </c>
      <c r="F332" s="25" t="s">
        <v>73</v>
      </c>
      <c r="G332" s="47"/>
      <c r="H332" s="47"/>
      <c r="I332" s="48" t="s">
        <v>92</v>
      </c>
      <c r="J332" s="223"/>
    </row>
    <row r="333" spans="1:10" s="144" customFormat="1" ht="12.75" x14ac:dyDescent="0.25">
      <c r="A333" s="7">
        <v>525100008</v>
      </c>
      <c r="B333" s="22" t="s">
        <v>155</v>
      </c>
      <c r="C333" s="10">
        <v>149</v>
      </c>
      <c r="D333" s="10">
        <v>9405</v>
      </c>
      <c r="E333" s="10">
        <v>3.7</v>
      </c>
      <c r="F333" s="25" t="s">
        <v>73</v>
      </c>
      <c r="G333" s="10"/>
      <c r="H333" s="10" t="s">
        <v>309</v>
      </c>
      <c r="I333" s="23" t="s">
        <v>96</v>
      </c>
      <c r="J333" s="223"/>
    </row>
    <row r="334" spans="1:10" s="144" customFormat="1" ht="12.75" x14ac:dyDescent="0.25">
      <c r="A334" s="7">
        <v>525100033</v>
      </c>
      <c r="B334" s="22" t="s">
        <v>156</v>
      </c>
      <c r="C334" s="10">
        <v>74</v>
      </c>
      <c r="D334" s="10">
        <v>1597</v>
      </c>
      <c r="E334" s="10">
        <v>4.5999999999999996</v>
      </c>
      <c r="F334" s="25" t="s">
        <v>73</v>
      </c>
      <c r="G334" s="10"/>
      <c r="H334" s="10"/>
      <c r="I334" s="23" t="s">
        <v>153</v>
      </c>
      <c r="J334" s="223"/>
    </row>
    <row r="335" spans="1:10" s="144" customFormat="1" ht="12.75" x14ac:dyDescent="0.25">
      <c r="A335" s="7">
        <v>525100041</v>
      </c>
      <c r="B335" s="22" t="s">
        <v>348</v>
      </c>
      <c r="C335" s="10" t="s">
        <v>157</v>
      </c>
      <c r="D335" s="10">
        <v>2323</v>
      </c>
      <c r="E335" s="10" t="s">
        <v>158</v>
      </c>
      <c r="F335" s="25" t="s">
        <v>73</v>
      </c>
      <c r="G335" s="10"/>
      <c r="H335" s="10" t="s">
        <v>308</v>
      </c>
      <c r="I335" s="23" t="s">
        <v>145</v>
      </c>
      <c r="J335" s="223"/>
    </row>
    <row r="336" spans="1:10" s="144" customFormat="1" ht="12.75" x14ac:dyDescent="0.25">
      <c r="A336" s="7">
        <v>525100161</v>
      </c>
      <c r="B336" s="37" t="s">
        <v>467</v>
      </c>
      <c r="C336" s="10" t="s">
        <v>3503</v>
      </c>
      <c r="D336" s="10" t="s">
        <v>234</v>
      </c>
      <c r="E336" s="10" t="s">
        <v>1653</v>
      </c>
      <c r="F336" s="25" t="s">
        <v>73</v>
      </c>
      <c r="G336" s="38"/>
      <c r="H336" s="38"/>
      <c r="I336" s="39" t="s">
        <v>92</v>
      </c>
      <c r="J336" s="223"/>
    </row>
    <row r="337" spans="1:10" s="144" customFormat="1" ht="12.75" x14ac:dyDescent="0.25">
      <c r="A337" s="7">
        <v>525100162</v>
      </c>
      <c r="B337" s="22" t="s">
        <v>1176</v>
      </c>
      <c r="C337" s="10" t="s">
        <v>5317</v>
      </c>
      <c r="D337" s="10" t="s">
        <v>1178</v>
      </c>
      <c r="E337" s="10" t="s">
        <v>5316</v>
      </c>
      <c r="F337" s="10"/>
      <c r="G337" s="10"/>
      <c r="H337" s="10"/>
      <c r="I337" s="23" t="s">
        <v>92</v>
      </c>
      <c r="J337" s="223"/>
    </row>
    <row r="338" spans="1:10" s="144" customFormat="1" ht="12.75" x14ac:dyDescent="0.25">
      <c r="A338" s="7">
        <v>525100168</v>
      </c>
      <c r="B338" s="22" t="s">
        <v>725</v>
      </c>
      <c r="C338" s="10">
        <v>119</v>
      </c>
      <c r="D338" s="10">
        <v>7248</v>
      </c>
      <c r="E338" s="10" t="s">
        <v>177</v>
      </c>
      <c r="F338" s="25" t="s">
        <v>73</v>
      </c>
      <c r="G338" s="10"/>
      <c r="H338" s="10" t="s">
        <v>309</v>
      </c>
      <c r="I338" s="23" t="s">
        <v>96</v>
      </c>
      <c r="J338" s="223"/>
    </row>
    <row r="339" spans="1:10" s="144" customFormat="1" ht="12.75" x14ac:dyDescent="0.25">
      <c r="A339" s="7">
        <v>525100173</v>
      </c>
      <c r="B339" s="22" t="s">
        <v>1181</v>
      </c>
      <c r="C339" s="25">
        <v>60</v>
      </c>
      <c r="D339" s="25">
        <v>884</v>
      </c>
      <c r="E339" s="25" t="s">
        <v>64</v>
      </c>
      <c r="F339" s="25" t="s">
        <v>73</v>
      </c>
      <c r="G339" s="10"/>
      <c r="H339" s="10"/>
      <c r="I339" s="26" t="s">
        <v>92</v>
      </c>
      <c r="J339" s="223"/>
    </row>
    <row r="340" spans="1:10" s="144" customFormat="1" ht="12.75" x14ac:dyDescent="0.25">
      <c r="A340" s="21">
        <v>525100191</v>
      </c>
      <c r="B340" s="22" t="s">
        <v>232</v>
      </c>
      <c r="C340" s="25" t="s">
        <v>233</v>
      </c>
      <c r="D340" s="25" t="s">
        <v>234</v>
      </c>
      <c r="E340" s="25" t="s">
        <v>235</v>
      </c>
      <c r="F340" s="25" t="s">
        <v>73</v>
      </c>
      <c r="G340" s="10"/>
      <c r="H340" s="10"/>
      <c r="I340" s="23" t="s">
        <v>92</v>
      </c>
      <c r="J340" s="223"/>
    </row>
    <row r="341" spans="1:10" s="144" customFormat="1" ht="12.75" x14ac:dyDescent="0.25">
      <c r="A341" s="49">
        <v>525100193</v>
      </c>
      <c r="B341" s="22" t="s">
        <v>972</v>
      </c>
      <c r="C341" s="10" t="s">
        <v>973</v>
      </c>
      <c r="D341" s="10" t="s">
        <v>974</v>
      </c>
      <c r="E341" s="10" t="s">
        <v>929</v>
      </c>
      <c r="F341" s="25" t="s">
        <v>73</v>
      </c>
      <c r="G341" s="10"/>
      <c r="H341" s="10"/>
      <c r="I341" s="23" t="s">
        <v>92</v>
      </c>
      <c r="J341" s="223"/>
    </row>
    <row r="342" spans="1:10" s="144" customFormat="1" ht="12.75" x14ac:dyDescent="0.25">
      <c r="A342" s="7">
        <v>525100208</v>
      </c>
      <c r="B342" s="22" t="s">
        <v>159</v>
      </c>
      <c r="C342" s="10">
        <v>56</v>
      </c>
      <c r="D342" s="35">
        <v>491</v>
      </c>
      <c r="E342" s="10" t="s">
        <v>95</v>
      </c>
      <c r="F342" s="25" t="s">
        <v>73</v>
      </c>
      <c r="G342" s="10"/>
      <c r="H342" s="10"/>
      <c r="I342" s="23" t="s">
        <v>92</v>
      </c>
      <c r="J342" s="223"/>
    </row>
    <row r="343" spans="1:10" s="144" customFormat="1" ht="12.75" x14ac:dyDescent="0.25">
      <c r="A343" s="7">
        <v>525100210</v>
      </c>
      <c r="B343" s="46" t="s">
        <v>616</v>
      </c>
      <c r="C343" s="10" t="s">
        <v>617</v>
      </c>
      <c r="D343" s="10" t="s">
        <v>618</v>
      </c>
      <c r="E343" s="10" t="s">
        <v>619</v>
      </c>
      <c r="F343" s="25" t="s">
        <v>73</v>
      </c>
      <c r="G343" s="47"/>
      <c r="H343" s="47"/>
      <c r="I343" s="48" t="s">
        <v>92</v>
      </c>
      <c r="J343" s="223"/>
    </row>
    <row r="344" spans="1:10" s="144" customFormat="1" ht="12.75" x14ac:dyDescent="0.25">
      <c r="A344" s="7">
        <v>525100325</v>
      </c>
      <c r="B344" s="22" t="s">
        <v>438</v>
      </c>
      <c r="C344" s="10">
        <v>87</v>
      </c>
      <c r="D344" s="10">
        <v>2034</v>
      </c>
      <c r="E344" s="10">
        <v>2.8</v>
      </c>
      <c r="F344" s="25" t="s">
        <v>73</v>
      </c>
      <c r="G344" s="10"/>
      <c r="H344" s="10" t="s">
        <v>445</v>
      </c>
      <c r="I344" s="23" t="s">
        <v>47</v>
      </c>
      <c r="J344" s="223"/>
    </row>
    <row r="345" spans="1:10" s="144" customFormat="1" ht="12.75" x14ac:dyDescent="0.25">
      <c r="A345" s="7">
        <v>525100331</v>
      </c>
      <c r="B345" s="22" t="s">
        <v>500</v>
      </c>
      <c r="C345" s="10" t="s">
        <v>411</v>
      </c>
      <c r="D345" s="10" t="s">
        <v>504</v>
      </c>
      <c r="E345" s="10" t="s">
        <v>503</v>
      </c>
      <c r="F345" s="25" t="s">
        <v>73</v>
      </c>
      <c r="G345" s="10"/>
      <c r="H345" s="10"/>
      <c r="I345" s="23" t="s">
        <v>245</v>
      </c>
      <c r="J345" s="223"/>
    </row>
    <row r="346" spans="1:10" s="144" customFormat="1" ht="12.75" x14ac:dyDescent="0.25">
      <c r="A346" s="7">
        <v>525100339</v>
      </c>
      <c r="B346" s="37" t="s">
        <v>545</v>
      </c>
      <c r="C346" s="10" t="s">
        <v>411</v>
      </c>
      <c r="D346" s="10" t="s">
        <v>504</v>
      </c>
      <c r="E346" s="40" t="s">
        <v>489</v>
      </c>
      <c r="F346" s="25" t="s">
        <v>73</v>
      </c>
      <c r="G346" s="38"/>
      <c r="H346" s="38"/>
      <c r="I346" s="23" t="s">
        <v>245</v>
      </c>
      <c r="J346" s="223"/>
    </row>
    <row r="347" spans="1:10" s="144" customFormat="1" ht="12.75" x14ac:dyDescent="0.25">
      <c r="A347" s="7">
        <v>525100358</v>
      </c>
      <c r="B347" s="22" t="s">
        <v>250</v>
      </c>
      <c r="C347" s="25" t="s">
        <v>251</v>
      </c>
      <c r="D347" s="25" t="s">
        <v>252</v>
      </c>
      <c r="E347" s="25" t="s">
        <v>253</v>
      </c>
      <c r="F347" s="25" t="s">
        <v>73</v>
      </c>
      <c r="G347" s="10"/>
      <c r="H347" s="10"/>
      <c r="I347" s="23" t="s">
        <v>258</v>
      </c>
      <c r="J347" s="223"/>
    </row>
    <row r="348" spans="1:10" s="144" customFormat="1" ht="12.75" x14ac:dyDescent="0.25">
      <c r="A348" s="7">
        <v>525100379</v>
      </c>
      <c r="B348" s="22" t="s">
        <v>3882</v>
      </c>
      <c r="C348" s="10" t="s">
        <v>3883</v>
      </c>
      <c r="D348" s="10" t="s">
        <v>3884</v>
      </c>
      <c r="E348" s="10" t="s">
        <v>3885</v>
      </c>
      <c r="F348" s="25" t="s">
        <v>73</v>
      </c>
      <c r="G348" s="38"/>
      <c r="H348" s="38"/>
      <c r="I348" s="23" t="s">
        <v>39</v>
      </c>
      <c r="J348" s="223"/>
    </row>
    <row r="349" spans="1:10" s="144" customFormat="1" ht="12.75" x14ac:dyDescent="0.25">
      <c r="A349" s="7">
        <v>525100386</v>
      </c>
      <c r="B349" s="22" t="s">
        <v>1667</v>
      </c>
      <c r="C349" s="10" t="s">
        <v>551</v>
      </c>
      <c r="D349" s="10" t="s">
        <v>552</v>
      </c>
      <c r="E349" s="10" t="s">
        <v>1821</v>
      </c>
      <c r="F349" s="25" t="s">
        <v>73</v>
      </c>
      <c r="G349" s="38" t="s">
        <v>287</v>
      </c>
      <c r="H349" s="38" t="s">
        <v>388</v>
      </c>
      <c r="I349" s="39" t="s">
        <v>46</v>
      </c>
      <c r="J349" s="223"/>
    </row>
    <row r="350" spans="1:10" s="144" customFormat="1" ht="12.75" x14ac:dyDescent="0.25">
      <c r="A350" s="21">
        <v>525100516</v>
      </c>
      <c r="B350" s="46" t="s">
        <v>697</v>
      </c>
      <c r="C350" s="10" t="s">
        <v>698</v>
      </c>
      <c r="D350" s="10" t="s">
        <v>699</v>
      </c>
      <c r="E350" s="10" t="s">
        <v>700</v>
      </c>
      <c r="F350" s="25" t="s">
        <v>73</v>
      </c>
      <c r="G350" s="47"/>
      <c r="H350" s="47"/>
      <c r="I350" s="48" t="s">
        <v>172</v>
      </c>
      <c r="J350" s="223"/>
    </row>
    <row r="351" spans="1:10" s="204" customFormat="1" ht="12.75" x14ac:dyDescent="0.25">
      <c r="A351" s="21">
        <v>525121008</v>
      </c>
      <c r="B351" s="22" t="s">
        <v>2814</v>
      </c>
      <c r="C351" s="10">
        <v>95</v>
      </c>
      <c r="D351" s="10">
        <v>3543</v>
      </c>
      <c r="E351" s="10">
        <v>5</v>
      </c>
      <c r="F351" s="25"/>
      <c r="G351" s="10"/>
      <c r="H351" s="10"/>
      <c r="I351" s="23" t="s">
        <v>96</v>
      </c>
      <c r="J351" s="224"/>
    </row>
    <row r="352" spans="1:10" s="144" customFormat="1" ht="12.75" x14ac:dyDescent="0.25">
      <c r="A352" s="21">
        <v>525119168</v>
      </c>
      <c r="B352" s="141" t="s">
        <v>2815</v>
      </c>
      <c r="C352" s="142" t="s">
        <v>251</v>
      </c>
      <c r="D352" s="142" t="s">
        <v>2816</v>
      </c>
      <c r="E352" s="142" t="s">
        <v>2817</v>
      </c>
      <c r="F352" s="145"/>
      <c r="G352" s="142"/>
      <c r="H352" s="142"/>
      <c r="I352" s="143" t="s">
        <v>260</v>
      </c>
      <c r="J352" s="223"/>
    </row>
    <row r="353" spans="1:10" s="144" customFormat="1" ht="12.75" x14ac:dyDescent="0.25">
      <c r="A353" s="87">
        <v>525019669</v>
      </c>
      <c r="B353" s="22" t="s">
        <v>2821</v>
      </c>
      <c r="C353" s="142">
        <v>67.95</v>
      </c>
      <c r="D353" s="142">
        <v>1076</v>
      </c>
      <c r="E353" s="142">
        <v>3.8</v>
      </c>
      <c r="F353" s="145"/>
      <c r="G353" s="142"/>
      <c r="H353" s="142"/>
      <c r="I353" s="23" t="s">
        <v>47</v>
      </c>
      <c r="J353" s="223"/>
    </row>
    <row r="354" spans="1:10" s="144" customFormat="1" ht="12.75" x14ac:dyDescent="0.25">
      <c r="A354" s="140">
        <v>525500530</v>
      </c>
      <c r="B354" s="22" t="s">
        <v>2822</v>
      </c>
      <c r="C354" s="10" t="s">
        <v>2823</v>
      </c>
      <c r="D354" s="10" t="s">
        <v>2824</v>
      </c>
      <c r="E354" s="10" t="s">
        <v>2825</v>
      </c>
      <c r="F354" s="145"/>
      <c r="G354" s="142"/>
      <c r="H354" s="142"/>
      <c r="I354" s="23" t="s">
        <v>39</v>
      </c>
      <c r="J354" s="223"/>
    </row>
    <row r="355" spans="1:10" s="144" customFormat="1" ht="12.75" x14ac:dyDescent="0.25">
      <c r="A355" s="7">
        <v>357053000</v>
      </c>
      <c r="B355" s="22" t="s">
        <v>2826</v>
      </c>
      <c r="C355" s="142">
        <v>229</v>
      </c>
      <c r="D355" s="142">
        <v>44175</v>
      </c>
      <c r="E355" s="142">
        <v>14.2</v>
      </c>
      <c r="F355" s="145"/>
      <c r="G355" s="142"/>
      <c r="H355" s="142"/>
      <c r="I355" s="23" t="s">
        <v>2827</v>
      </c>
      <c r="J355" s="223"/>
    </row>
    <row r="356" spans="1:10" s="144" customFormat="1" ht="12.75" x14ac:dyDescent="0.25">
      <c r="A356" s="87">
        <v>525023151</v>
      </c>
      <c r="B356" s="22" t="s">
        <v>2828</v>
      </c>
      <c r="C356" s="142">
        <v>100.3</v>
      </c>
      <c r="D356" s="142">
        <v>6448</v>
      </c>
      <c r="E356" s="142">
        <v>4.9000000000000004</v>
      </c>
      <c r="F356" s="145"/>
      <c r="G356" s="142"/>
      <c r="H356" s="142"/>
      <c r="I356" s="23" t="s">
        <v>39</v>
      </c>
      <c r="J356" s="223"/>
    </row>
    <row r="357" spans="1:10" s="144" customFormat="1" ht="12.75" x14ac:dyDescent="0.25">
      <c r="A357" s="206">
        <v>574005700</v>
      </c>
      <c r="B357" s="22" t="s">
        <v>2829</v>
      </c>
      <c r="C357" s="10">
        <v>225</v>
      </c>
      <c r="D357" s="10">
        <v>41684</v>
      </c>
      <c r="E357" s="10">
        <v>13</v>
      </c>
      <c r="F357" s="25"/>
      <c r="G357" s="10"/>
      <c r="H357" s="10"/>
      <c r="I357" s="23" t="s">
        <v>262</v>
      </c>
      <c r="J357" s="223"/>
    </row>
    <row r="358" spans="1:10" s="144" customFormat="1" ht="12.75" x14ac:dyDescent="0.25">
      <c r="A358" s="140">
        <v>525701809</v>
      </c>
      <c r="B358" s="22" t="s">
        <v>2830</v>
      </c>
      <c r="C358" s="10">
        <v>97</v>
      </c>
      <c r="D358" s="10">
        <v>3115</v>
      </c>
      <c r="E358" s="10" t="s">
        <v>1660</v>
      </c>
      <c r="F358" s="25"/>
      <c r="G358" s="10"/>
      <c r="H358" s="10"/>
      <c r="I358" s="23" t="s">
        <v>1584</v>
      </c>
      <c r="J358" s="223"/>
    </row>
    <row r="359" spans="1:10" s="144" customFormat="1" ht="12.75" x14ac:dyDescent="0.25">
      <c r="A359" s="140">
        <v>356819000</v>
      </c>
      <c r="B359" s="22" t="s">
        <v>2831</v>
      </c>
      <c r="C359" s="10">
        <v>150</v>
      </c>
      <c r="D359" s="10">
        <v>10549</v>
      </c>
      <c r="E359" s="10">
        <v>8.5</v>
      </c>
      <c r="F359" s="25"/>
      <c r="G359" s="10"/>
      <c r="H359" s="10"/>
      <c r="I359" s="23" t="s">
        <v>150</v>
      </c>
      <c r="J359" s="223"/>
    </row>
    <row r="360" spans="1:10" s="144" customFormat="1" ht="12.75" x14ac:dyDescent="0.25">
      <c r="A360" s="87">
        <v>525300446</v>
      </c>
      <c r="B360" s="22" t="s">
        <v>2832</v>
      </c>
      <c r="C360" s="10" t="s">
        <v>2833</v>
      </c>
      <c r="D360" s="10" t="s">
        <v>2834</v>
      </c>
      <c r="E360" s="10" t="s">
        <v>3137</v>
      </c>
      <c r="F360" s="25"/>
      <c r="G360" s="10"/>
      <c r="H360" s="10"/>
      <c r="I360" s="23" t="s">
        <v>245</v>
      </c>
      <c r="J360" s="223"/>
    </row>
    <row r="361" spans="1:10" s="144" customFormat="1" ht="12.75" x14ac:dyDescent="0.25">
      <c r="A361" s="7">
        <v>525100558</v>
      </c>
      <c r="B361" s="22" t="s">
        <v>366</v>
      </c>
      <c r="C361" s="10">
        <v>117</v>
      </c>
      <c r="D361" s="10">
        <v>7757</v>
      </c>
      <c r="E361" s="10">
        <v>6.9</v>
      </c>
      <c r="F361" s="25" t="s">
        <v>73</v>
      </c>
      <c r="G361" s="10"/>
      <c r="H361" s="10" t="s">
        <v>367</v>
      </c>
      <c r="I361" s="23" t="s">
        <v>45</v>
      </c>
      <c r="J361" s="223"/>
    </row>
    <row r="362" spans="1:10" s="144" customFormat="1" ht="12.75" x14ac:dyDescent="0.25">
      <c r="A362" s="7">
        <v>525100580</v>
      </c>
      <c r="B362" s="22" t="s">
        <v>956</v>
      </c>
      <c r="C362" s="10" t="s">
        <v>1081</v>
      </c>
      <c r="D362" s="10" t="s">
        <v>1605</v>
      </c>
      <c r="E362" s="10" t="s">
        <v>1615</v>
      </c>
      <c r="F362" s="25" t="s">
        <v>73</v>
      </c>
      <c r="G362" s="10"/>
      <c r="H362" s="10"/>
      <c r="I362" s="23" t="s">
        <v>353</v>
      </c>
      <c r="J362" s="223"/>
    </row>
    <row r="363" spans="1:10" s="144" customFormat="1" ht="12.75" x14ac:dyDescent="0.25">
      <c r="A363" s="7">
        <v>525100591</v>
      </c>
      <c r="B363" s="46" t="s">
        <v>712</v>
      </c>
      <c r="C363" s="10">
        <v>65</v>
      </c>
      <c r="D363" s="10">
        <v>1519</v>
      </c>
      <c r="E363" s="10">
        <v>3.2</v>
      </c>
      <c r="F363" s="25" t="s">
        <v>73</v>
      </c>
      <c r="G363" s="47"/>
      <c r="H363" s="10" t="s">
        <v>309</v>
      </c>
      <c r="I363" s="48" t="s">
        <v>96</v>
      </c>
      <c r="J363" s="223"/>
    </row>
    <row r="364" spans="1:10" s="144" customFormat="1" ht="12.75" x14ac:dyDescent="0.25">
      <c r="A364" s="7">
        <v>525100671</v>
      </c>
      <c r="B364" s="37" t="s">
        <v>573</v>
      </c>
      <c r="C364" s="10">
        <v>77</v>
      </c>
      <c r="D364" s="10">
        <v>1399</v>
      </c>
      <c r="E364" s="10">
        <v>4.9000000000000004</v>
      </c>
      <c r="F364" s="25" t="s">
        <v>73</v>
      </c>
      <c r="G364" s="38"/>
      <c r="H364" s="38"/>
      <c r="I364" s="39" t="s">
        <v>145</v>
      </c>
      <c r="J364" s="223"/>
    </row>
    <row r="365" spans="1:10" s="144" customFormat="1" ht="12.75" x14ac:dyDescent="0.25">
      <c r="A365" s="7">
        <v>525100705</v>
      </c>
      <c r="B365" s="22" t="s">
        <v>421</v>
      </c>
      <c r="C365" s="10">
        <v>98</v>
      </c>
      <c r="D365" s="10">
        <v>2955</v>
      </c>
      <c r="E365" s="10">
        <v>5.4</v>
      </c>
      <c r="F365" s="25" t="s">
        <v>73</v>
      </c>
      <c r="G365" s="10"/>
      <c r="H365" s="10" t="s">
        <v>430</v>
      </c>
      <c r="I365" s="23" t="s">
        <v>84</v>
      </c>
      <c r="J365" s="223"/>
    </row>
    <row r="366" spans="1:10" s="144" customFormat="1" ht="12.75" x14ac:dyDescent="0.25">
      <c r="A366" s="49">
        <v>525100734</v>
      </c>
      <c r="B366" s="37" t="s">
        <v>488</v>
      </c>
      <c r="C366" s="10">
        <v>70</v>
      </c>
      <c r="D366" s="10">
        <v>1251</v>
      </c>
      <c r="E366" s="10" t="s">
        <v>764</v>
      </c>
      <c r="F366" s="25" t="s">
        <v>73</v>
      </c>
      <c r="G366" s="38"/>
      <c r="H366" s="38"/>
      <c r="I366" s="39" t="s">
        <v>39</v>
      </c>
      <c r="J366" s="223"/>
    </row>
    <row r="367" spans="1:10" s="144" customFormat="1" ht="12.75" x14ac:dyDescent="0.25">
      <c r="A367" s="7">
        <v>525100764</v>
      </c>
      <c r="B367" s="22" t="s">
        <v>1002</v>
      </c>
      <c r="C367" s="10">
        <v>69</v>
      </c>
      <c r="D367" s="10">
        <v>1153</v>
      </c>
      <c r="E367" s="10">
        <v>43</v>
      </c>
      <c r="F367" s="25" t="s">
        <v>73</v>
      </c>
      <c r="G367" s="10"/>
      <c r="H367" s="10"/>
      <c r="I367" s="23" t="s">
        <v>47</v>
      </c>
      <c r="J367" s="223"/>
    </row>
    <row r="368" spans="1:10" s="144" customFormat="1" ht="12.75" x14ac:dyDescent="0.25">
      <c r="A368" s="7">
        <v>525100829</v>
      </c>
      <c r="B368" s="46" t="s">
        <v>754</v>
      </c>
      <c r="C368" s="10" t="s">
        <v>755</v>
      </c>
      <c r="D368" s="10">
        <v>368</v>
      </c>
      <c r="E368" s="10" t="s">
        <v>140</v>
      </c>
      <c r="F368" s="25" t="s">
        <v>73</v>
      </c>
      <c r="G368" s="47"/>
      <c r="H368" s="47"/>
      <c r="I368" s="48" t="s">
        <v>756</v>
      </c>
      <c r="J368" s="223"/>
    </row>
    <row r="369" spans="1:10" s="144" customFormat="1" ht="12.75" x14ac:dyDescent="0.25">
      <c r="A369" s="7">
        <v>525100849</v>
      </c>
      <c r="B369" s="22" t="s">
        <v>2178</v>
      </c>
      <c r="C369" s="10" t="s">
        <v>1083</v>
      </c>
      <c r="D369" s="10" t="s">
        <v>1084</v>
      </c>
      <c r="E369" s="10" t="s">
        <v>1085</v>
      </c>
      <c r="F369" s="25" t="s">
        <v>73</v>
      </c>
      <c r="G369" s="10"/>
      <c r="H369" s="10" t="s">
        <v>309</v>
      </c>
      <c r="I369" s="23" t="s">
        <v>96</v>
      </c>
      <c r="J369" s="223"/>
    </row>
    <row r="370" spans="1:10" s="144" customFormat="1" ht="12.75" x14ac:dyDescent="0.25">
      <c r="A370" s="7">
        <v>525100873</v>
      </c>
      <c r="B370" s="46" t="s">
        <v>695</v>
      </c>
      <c r="C370" s="10" t="s">
        <v>3232</v>
      </c>
      <c r="D370" s="10" t="s">
        <v>3233</v>
      </c>
      <c r="E370" s="10" t="s">
        <v>3234</v>
      </c>
      <c r="F370" s="25" t="s">
        <v>73</v>
      </c>
      <c r="G370" s="47"/>
      <c r="H370" s="47"/>
      <c r="I370" s="23" t="s">
        <v>92</v>
      </c>
      <c r="J370" s="223"/>
    </row>
    <row r="371" spans="1:10" s="144" customFormat="1" ht="12.75" x14ac:dyDescent="0.25">
      <c r="A371" s="7">
        <v>525100875</v>
      </c>
      <c r="B371" s="22" t="s">
        <v>921</v>
      </c>
      <c r="C371" s="10" t="s">
        <v>1086</v>
      </c>
      <c r="D371" s="10" t="s">
        <v>1087</v>
      </c>
      <c r="E371" s="10" t="s">
        <v>1088</v>
      </c>
      <c r="F371" s="25" t="s">
        <v>73</v>
      </c>
      <c r="G371" s="10"/>
      <c r="H371" s="10"/>
      <c r="I371" s="23" t="s">
        <v>922</v>
      </c>
      <c r="J371" s="223"/>
    </row>
    <row r="372" spans="1:10" s="144" customFormat="1" ht="12.75" x14ac:dyDescent="0.25">
      <c r="A372" s="20">
        <v>525100882</v>
      </c>
      <c r="B372" s="22" t="s">
        <v>161</v>
      </c>
      <c r="C372" s="25">
        <v>75</v>
      </c>
      <c r="D372" s="25">
        <v>1174</v>
      </c>
      <c r="E372" s="25" t="s">
        <v>59</v>
      </c>
      <c r="F372" s="25" t="s">
        <v>73</v>
      </c>
      <c r="G372" s="10"/>
      <c r="H372" s="10" t="s">
        <v>307</v>
      </c>
      <c r="I372" s="26" t="s">
        <v>39</v>
      </c>
      <c r="J372" s="223"/>
    </row>
    <row r="373" spans="1:10" s="144" customFormat="1" ht="12.75" x14ac:dyDescent="0.25">
      <c r="A373" s="7">
        <v>525100990</v>
      </c>
      <c r="B373" s="22" t="s">
        <v>162</v>
      </c>
      <c r="C373" s="10">
        <v>70</v>
      </c>
      <c r="D373" s="10">
        <v>1204</v>
      </c>
      <c r="E373" s="10" t="s">
        <v>1027</v>
      </c>
      <c r="F373" s="25" t="s">
        <v>73</v>
      </c>
      <c r="G373" s="10"/>
      <c r="H373" s="10"/>
      <c r="I373" s="23" t="s">
        <v>516</v>
      </c>
      <c r="J373" s="223"/>
    </row>
    <row r="374" spans="1:10" s="144" customFormat="1" ht="12.75" x14ac:dyDescent="0.25">
      <c r="A374" s="7">
        <v>525100999</v>
      </c>
      <c r="B374" s="37" t="s">
        <v>514</v>
      </c>
      <c r="C374" s="10">
        <v>195</v>
      </c>
      <c r="D374" s="10">
        <v>32465</v>
      </c>
      <c r="E374" s="10" t="s">
        <v>1016</v>
      </c>
      <c r="F374" s="25" t="s">
        <v>73</v>
      </c>
      <c r="G374" s="38"/>
      <c r="H374" s="38"/>
      <c r="I374" s="39" t="s">
        <v>48</v>
      </c>
      <c r="J374" s="223"/>
    </row>
    <row r="375" spans="1:10" s="144" customFormat="1" ht="12.75" x14ac:dyDescent="0.25">
      <c r="A375" s="7">
        <v>525101053</v>
      </c>
      <c r="B375" s="22" t="s">
        <v>542</v>
      </c>
      <c r="C375" s="10"/>
      <c r="D375" s="10"/>
      <c r="E375" s="10"/>
      <c r="F375" s="25" t="s">
        <v>73</v>
      </c>
      <c r="G375" s="38"/>
      <c r="H375" s="38"/>
      <c r="I375" s="23" t="s">
        <v>1053</v>
      </c>
      <c r="J375" s="223"/>
    </row>
    <row r="376" spans="1:10" s="144" customFormat="1" ht="12.75" x14ac:dyDescent="0.25">
      <c r="A376" s="7">
        <v>525101323</v>
      </c>
      <c r="B376" s="22" t="s">
        <v>455</v>
      </c>
      <c r="C376" s="10">
        <v>205</v>
      </c>
      <c r="D376" s="10">
        <v>49565</v>
      </c>
      <c r="E376" s="10">
        <v>7.4</v>
      </c>
      <c r="F376" s="25" t="s">
        <v>73</v>
      </c>
      <c r="G376" s="10"/>
      <c r="H376" s="10"/>
      <c r="I376" s="23" t="s">
        <v>457</v>
      </c>
      <c r="J376" s="223"/>
    </row>
    <row r="377" spans="1:10" s="144" customFormat="1" ht="12.75" x14ac:dyDescent="0.25">
      <c r="A377" s="7">
        <v>525101446</v>
      </c>
      <c r="B377" s="22" t="s">
        <v>752</v>
      </c>
      <c r="C377" s="10" t="s">
        <v>1656</v>
      </c>
      <c r="D377" s="10" t="s">
        <v>753</v>
      </c>
      <c r="E377" s="10" t="s">
        <v>1760</v>
      </c>
      <c r="F377" s="25" t="s">
        <v>73</v>
      </c>
      <c r="G377" s="47"/>
      <c r="H377" s="10" t="s">
        <v>388</v>
      </c>
      <c r="I377" s="23" t="s">
        <v>46</v>
      </c>
      <c r="J377" s="223"/>
    </row>
    <row r="378" spans="1:10" s="144" customFormat="1" ht="12.75" x14ac:dyDescent="0.25">
      <c r="A378" s="7">
        <v>525101491</v>
      </c>
      <c r="B378" s="46" t="s">
        <v>704</v>
      </c>
      <c r="C378" s="10" t="s">
        <v>705</v>
      </c>
      <c r="D378" s="10" t="s">
        <v>706</v>
      </c>
      <c r="E378" s="10" t="s">
        <v>1731</v>
      </c>
      <c r="F378" s="25" t="s">
        <v>73</v>
      </c>
      <c r="G378" s="47"/>
      <c r="H378" s="10" t="s">
        <v>388</v>
      </c>
      <c r="I378" s="48" t="s">
        <v>46</v>
      </c>
      <c r="J378" s="223"/>
    </row>
    <row r="379" spans="1:10" s="144" customFormat="1" ht="12.75" x14ac:dyDescent="0.25">
      <c r="A379" s="7">
        <v>525101562</v>
      </c>
      <c r="B379" s="22" t="s">
        <v>909</v>
      </c>
      <c r="C379" s="10"/>
      <c r="D379" s="10"/>
      <c r="E379" s="10"/>
      <c r="F379" s="25" t="s">
        <v>73</v>
      </c>
      <c r="G379" s="10"/>
      <c r="H379" s="10"/>
      <c r="I379" s="23"/>
      <c r="J379" s="223"/>
    </row>
    <row r="380" spans="1:10" s="144" customFormat="1" ht="12.75" x14ac:dyDescent="0.25">
      <c r="A380" s="7">
        <v>525101827</v>
      </c>
      <c r="B380" s="22" t="s">
        <v>3526</v>
      </c>
      <c r="C380" s="10" t="s">
        <v>3527</v>
      </c>
      <c r="D380" s="10" t="s">
        <v>876</v>
      </c>
      <c r="E380" s="10" t="s">
        <v>3902</v>
      </c>
      <c r="F380" s="25" t="s">
        <v>73</v>
      </c>
      <c r="G380" s="10"/>
      <c r="H380" s="10"/>
      <c r="I380" s="23" t="s">
        <v>92</v>
      </c>
      <c r="J380" s="223"/>
    </row>
    <row r="381" spans="1:10" s="144" customFormat="1" ht="12.75" x14ac:dyDescent="0.25">
      <c r="A381" s="7">
        <v>525101873</v>
      </c>
      <c r="B381" s="37" t="s">
        <v>572</v>
      </c>
      <c r="C381" s="10">
        <v>63</v>
      </c>
      <c r="D381" s="25" t="s">
        <v>79</v>
      </c>
      <c r="E381" s="25" t="s">
        <v>3805</v>
      </c>
      <c r="F381" s="25" t="s">
        <v>73</v>
      </c>
      <c r="G381" s="38"/>
      <c r="H381" s="38"/>
      <c r="I381" s="39" t="s">
        <v>578</v>
      </c>
      <c r="J381" s="223"/>
    </row>
    <row r="382" spans="1:10" s="144" customFormat="1" ht="12.75" x14ac:dyDescent="0.2">
      <c r="A382" s="64">
        <v>525101908</v>
      </c>
      <c r="B382" s="22" t="s">
        <v>1163</v>
      </c>
      <c r="C382" s="10" t="s">
        <v>1164</v>
      </c>
      <c r="D382" s="10" t="s">
        <v>706</v>
      </c>
      <c r="E382" s="10" t="s">
        <v>1165</v>
      </c>
      <c r="F382" s="10"/>
      <c r="G382" s="10"/>
      <c r="H382" s="10"/>
      <c r="I382" s="23" t="s">
        <v>46</v>
      </c>
      <c r="J382" s="223"/>
    </row>
    <row r="383" spans="1:10" s="144" customFormat="1" ht="12.75" x14ac:dyDescent="0.25">
      <c r="A383" s="7">
        <v>525101980</v>
      </c>
      <c r="B383" s="46" t="s">
        <v>812</v>
      </c>
      <c r="C383" s="25">
        <v>8</v>
      </c>
      <c r="D383" s="25">
        <v>76</v>
      </c>
      <c r="E383" s="25">
        <v>1</v>
      </c>
      <c r="F383" s="25" t="s">
        <v>73</v>
      </c>
      <c r="G383" s="47"/>
      <c r="H383" s="47"/>
      <c r="I383" s="50" t="s">
        <v>245</v>
      </c>
      <c r="J383" s="223"/>
    </row>
    <row r="384" spans="1:10" s="144" customFormat="1" ht="12.75" x14ac:dyDescent="0.25">
      <c r="A384" s="7">
        <v>525103002</v>
      </c>
      <c r="B384" s="22" t="s">
        <v>888</v>
      </c>
      <c r="C384" s="10">
        <v>190</v>
      </c>
      <c r="D384" s="10">
        <v>30684</v>
      </c>
      <c r="E384" s="10" t="s">
        <v>106</v>
      </c>
      <c r="F384" s="25" t="s">
        <v>73</v>
      </c>
      <c r="G384" s="10"/>
      <c r="H384" s="10"/>
      <c r="I384" s="23" t="s">
        <v>249</v>
      </c>
      <c r="J384" s="223"/>
    </row>
    <row r="385" spans="1:10" s="144" customFormat="1" ht="12.75" x14ac:dyDescent="0.25">
      <c r="A385" s="7">
        <v>525107002</v>
      </c>
      <c r="B385" s="37" t="s">
        <v>515</v>
      </c>
      <c r="C385" s="10">
        <v>99</v>
      </c>
      <c r="D385" s="10">
        <v>3734</v>
      </c>
      <c r="E385" s="10">
        <v>6.9</v>
      </c>
      <c r="F385" s="25" t="s">
        <v>73</v>
      </c>
      <c r="G385" s="38"/>
      <c r="H385" s="38"/>
      <c r="I385" s="39" t="s">
        <v>516</v>
      </c>
      <c r="J385" s="223"/>
    </row>
    <row r="386" spans="1:10" s="144" customFormat="1" ht="12.75" x14ac:dyDescent="0.25">
      <c r="A386" s="7">
        <v>525108007</v>
      </c>
      <c r="B386" s="22" t="s">
        <v>163</v>
      </c>
      <c r="C386" s="10">
        <v>157</v>
      </c>
      <c r="D386" s="10">
        <v>14596</v>
      </c>
      <c r="E386" s="10">
        <v>7.3</v>
      </c>
      <c r="F386" s="25" t="s">
        <v>73</v>
      </c>
      <c r="G386" s="10"/>
      <c r="H386" s="10" t="s">
        <v>309</v>
      </c>
      <c r="I386" s="23" t="s">
        <v>96</v>
      </c>
      <c r="J386" s="223"/>
    </row>
    <row r="387" spans="1:10" s="144" customFormat="1" ht="12.75" x14ac:dyDescent="0.25">
      <c r="A387" s="49">
        <v>525109001</v>
      </c>
      <c r="B387" s="22" t="s">
        <v>1736</v>
      </c>
      <c r="C387" s="10">
        <v>95</v>
      </c>
      <c r="D387" s="10">
        <v>2943</v>
      </c>
      <c r="E387" s="10">
        <v>4.8</v>
      </c>
      <c r="F387" s="25" t="s">
        <v>73</v>
      </c>
      <c r="G387" s="10"/>
      <c r="H387" s="25" t="s">
        <v>76</v>
      </c>
      <c r="I387" s="23" t="s">
        <v>71</v>
      </c>
      <c r="J387" s="223"/>
    </row>
    <row r="388" spans="1:10" s="144" customFormat="1" ht="12.75" x14ac:dyDescent="0.25">
      <c r="A388" s="7">
        <v>525112003</v>
      </c>
      <c r="B388" s="22" t="s">
        <v>961</v>
      </c>
      <c r="C388" s="10">
        <v>190</v>
      </c>
      <c r="D388" s="10">
        <v>31226</v>
      </c>
      <c r="E388" s="10" t="s">
        <v>1754</v>
      </c>
      <c r="F388" s="25" t="s">
        <v>73</v>
      </c>
      <c r="G388" s="10"/>
      <c r="H388" s="10"/>
      <c r="I388" s="23" t="s">
        <v>249</v>
      </c>
      <c r="J388" s="223"/>
    </row>
    <row r="389" spans="1:10" s="144" customFormat="1" ht="12.75" x14ac:dyDescent="0.25">
      <c r="A389" s="7">
        <v>525112005</v>
      </c>
      <c r="B389" s="22" t="s">
        <v>981</v>
      </c>
      <c r="C389" s="10">
        <v>170</v>
      </c>
      <c r="D389" s="10">
        <v>17018</v>
      </c>
      <c r="E389" s="10" t="s">
        <v>189</v>
      </c>
      <c r="F389" s="25" t="s">
        <v>73</v>
      </c>
      <c r="G389" s="10"/>
      <c r="H389" s="10"/>
      <c r="I389" s="23" t="s">
        <v>249</v>
      </c>
      <c r="J389" s="223"/>
    </row>
    <row r="390" spans="1:10" s="144" customFormat="1" ht="12.75" x14ac:dyDescent="0.25">
      <c r="A390" s="7">
        <v>525114001</v>
      </c>
      <c r="B390" s="22" t="s">
        <v>1226</v>
      </c>
      <c r="C390" s="10">
        <v>157</v>
      </c>
      <c r="D390" s="10">
        <v>14580</v>
      </c>
      <c r="E390" s="25" t="s">
        <v>106</v>
      </c>
      <c r="F390" s="10"/>
      <c r="G390" s="10"/>
      <c r="H390" s="10"/>
      <c r="I390" s="23" t="s">
        <v>96</v>
      </c>
      <c r="J390" s="223"/>
    </row>
    <row r="391" spans="1:10" s="144" customFormat="1" ht="12.75" x14ac:dyDescent="0.25">
      <c r="A391" s="7">
        <v>525114029</v>
      </c>
      <c r="B391" s="22" t="s">
        <v>541</v>
      </c>
      <c r="C391" s="10">
        <v>146</v>
      </c>
      <c r="D391" s="10">
        <v>11828</v>
      </c>
      <c r="E391" s="10">
        <v>6.4</v>
      </c>
      <c r="F391" s="25" t="s">
        <v>73</v>
      </c>
      <c r="G391" s="38"/>
      <c r="H391" s="10" t="s">
        <v>309</v>
      </c>
      <c r="I391" s="23" t="s">
        <v>96</v>
      </c>
      <c r="J391" s="223"/>
    </row>
    <row r="392" spans="1:10" s="144" customFormat="1" ht="12.75" x14ac:dyDescent="0.25">
      <c r="A392" s="7">
        <v>525114102</v>
      </c>
      <c r="B392" s="22" t="s">
        <v>523</v>
      </c>
      <c r="C392" s="10">
        <v>160</v>
      </c>
      <c r="D392" s="10">
        <v>13964</v>
      </c>
      <c r="E392" s="10" t="s">
        <v>91</v>
      </c>
      <c r="F392" s="25" t="s">
        <v>73</v>
      </c>
      <c r="G392" s="10"/>
      <c r="H392" s="10" t="s">
        <v>309</v>
      </c>
      <c r="I392" s="23" t="s">
        <v>96</v>
      </c>
      <c r="J392" s="223"/>
    </row>
    <row r="393" spans="1:10" s="144" customFormat="1" ht="12.75" x14ac:dyDescent="0.25">
      <c r="A393" s="20">
        <v>525114107</v>
      </c>
      <c r="B393" s="22" t="s">
        <v>347</v>
      </c>
      <c r="C393" s="25">
        <v>93</v>
      </c>
      <c r="D393" s="25">
        <v>3989</v>
      </c>
      <c r="E393" s="25">
        <v>4.4000000000000004</v>
      </c>
      <c r="F393" s="25" t="s">
        <v>73</v>
      </c>
      <c r="G393" s="10"/>
      <c r="H393" s="10"/>
      <c r="I393" s="26" t="s">
        <v>45</v>
      </c>
      <c r="J393" s="223"/>
    </row>
    <row r="394" spans="1:10" s="144" customFormat="1" ht="12.75" x14ac:dyDescent="0.25">
      <c r="A394" s="20">
        <v>525117001</v>
      </c>
      <c r="B394" s="22" t="s">
        <v>346</v>
      </c>
      <c r="C394" s="25">
        <v>125</v>
      </c>
      <c r="D394" s="25">
        <v>8037</v>
      </c>
      <c r="E394" s="25" t="s">
        <v>133</v>
      </c>
      <c r="F394" s="25" t="s">
        <v>73</v>
      </c>
      <c r="G394" s="10"/>
      <c r="H394" s="10"/>
      <c r="I394" s="26" t="s">
        <v>42</v>
      </c>
      <c r="J394" s="223"/>
    </row>
    <row r="395" spans="1:10" s="144" customFormat="1" ht="12.75" x14ac:dyDescent="0.25">
      <c r="A395" s="7">
        <v>525117005</v>
      </c>
      <c r="B395" s="37" t="s">
        <v>543</v>
      </c>
      <c r="C395" s="10" t="s">
        <v>547</v>
      </c>
      <c r="D395" s="10" t="s">
        <v>548</v>
      </c>
      <c r="E395" s="10">
        <v>3.6</v>
      </c>
      <c r="F395" s="25" t="s">
        <v>73</v>
      </c>
      <c r="G395" s="38"/>
      <c r="H395" s="10" t="s">
        <v>388</v>
      </c>
      <c r="I395" s="39" t="s">
        <v>46</v>
      </c>
      <c r="J395" s="223"/>
    </row>
    <row r="396" spans="1:10" s="144" customFormat="1" ht="12.75" x14ac:dyDescent="0.25">
      <c r="A396" s="7">
        <v>525117010</v>
      </c>
      <c r="B396" s="22" t="s">
        <v>3075</v>
      </c>
      <c r="C396" s="10" t="s">
        <v>1684</v>
      </c>
      <c r="D396" s="10" t="s">
        <v>702</v>
      </c>
      <c r="E396" s="10" t="s">
        <v>3091</v>
      </c>
      <c r="F396" s="25" t="s">
        <v>73</v>
      </c>
      <c r="G396" s="47"/>
      <c r="H396" s="10" t="s">
        <v>388</v>
      </c>
      <c r="I396" s="48" t="s">
        <v>46</v>
      </c>
      <c r="J396" s="223"/>
    </row>
    <row r="397" spans="1:10" s="144" customFormat="1" ht="12.75" x14ac:dyDescent="0.25">
      <c r="A397" s="7">
        <v>525119056</v>
      </c>
      <c r="B397" s="46" t="s">
        <v>703</v>
      </c>
      <c r="C397" s="10">
        <v>144</v>
      </c>
      <c r="D397" s="10">
        <v>11866</v>
      </c>
      <c r="E397" s="10" t="s">
        <v>834</v>
      </c>
      <c r="F397" s="25" t="s">
        <v>73</v>
      </c>
      <c r="G397" s="47"/>
      <c r="H397" s="10" t="s">
        <v>309</v>
      </c>
      <c r="I397" s="48" t="s">
        <v>96</v>
      </c>
      <c r="J397" s="223"/>
    </row>
    <row r="398" spans="1:10" s="144" customFormat="1" ht="12.75" x14ac:dyDescent="0.25">
      <c r="A398" s="20">
        <v>525119060</v>
      </c>
      <c r="B398" s="22" t="s">
        <v>166</v>
      </c>
      <c r="C398" s="25">
        <v>111</v>
      </c>
      <c r="D398" s="27">
        <v>4233</v>
      </c>
      <c r="E398" s="25" t="s">
        <v>164</v>
      </c>
      <c r="F398" s="25" t="s">
        <v>73</v>
      </c>
      <c r="G398" s="10"/>
      <c r="H398" s="10"/>
      <c r="I398" s="23" t="s">
        <v>1534</v>
      </c>
      <c r="J398" s="223"/>
    </row>
    <row r="399" spans="1:10" s="144" customFormat="1" ht="12.75" x14ac:dyDescent="0.25">
      <c r="A399" s="7">
        <v>525120010</v>
      </c>
      <c r="B399" s="46" t="s">
        <v>852</v>
      </c>
      <c r="C399" s="25">
        <v>65</v>
      </c>
      <c r="D399" s="25">
        <v>729</v>
      </c>
      <c r="E399" s="25">
        <v>3.5</v>
      </c>
      <c r="F399" s="25" t="s">
        <v>73</v>
      </c>
      <c r="G399" s="47"/>
      <c r="H399" s="47"/>
      <c r="I399" s="26" t="s">
        <v>154</v>
      </c>
      <c r="J399" s="223"/>
    </row>
    <row r="400" spans="1:10" s="144" customFormat="1" ht="12.75" x14ac:dyDescent="0.25">
      <c r="A400" s="20">
        <v>525125011</v>
      </c>
      <c r="B400" s="22" t="s">
        <v>167</v>
      </c>
      <c r="C400" s="25">
        <v>124</v>
      </c>
      <c r="D400" s="25">
        <v>8588</v>
      </c>
      <c r="E400" s="25">
        <v>5.7</v>
      </c>
      <c r="F400" s="25" t="s">
        <v>73</v>
      </c>
      <c r="G400" s="10"/>
      <c r="H400" s="10"/>
      <c r="I400" s="26" t="s">
        <v>79</v>
      </c>
      <c r="J400" s="223"/>
    </row>
    <row r="401" spans="1:10" s="144" customFormat="1" ht="12.75" x14ac:dyDescent="0.25">
      <c r="A401" s="7">
        <v>525125021</v>
      </c>
      <c r="B401" s="22" t="s">
        <v>481</v>
      </c>
      <c r="C401" s="10">
        <v>200</v>
      </c>
      <c r="D401" s="10">
        <v>25535</v>
      </c>
      <c r="E401" s="10">
        <v>10</v>
      </c>
      <c r="F401" s="25" t="s">
        <v>73</v>
      </c>
      <c r="G401" s="38"/>
      <c r="H401" s="38"/>
      <c r="I401" s="23" t="s">
        <v>268</v>
      </c>
      <c r="J401" s="223"/>
    </row>
    <row r="402" spans="1:10" s="144" customFormat="1" ht="12.75" x14ac:dyDescent="0.25">
      <c r="A402" s="20">
        <v>525125027</v>
      </c>
      <c r="B402" s="22" t="s">
        <v>168</v>
      </c>
      <c r="C402" s="25">
        <v>117</v>
      </c>
      <c r="D402" s="25">
        <v>5536</v>
      </c>
      <c r="E402" s="25" t="s">
        <v>147</v>
      </c>
      <c r="F402" s="25" t="s">
        <v>73</v>
      </c>
      <c r="G402" s="10"/>
      <c r="H402" s="10"/>
      <c r="I402" s="26" t="s">
        <v>79</v>
      </c>
      <c r="J402" s="223"/>
    </row>
    <row r="403" spans="1:10" s="144" customFormat="1" ht="12.75" x14ac:dyDescent="0.25">
      <c r="A403" s="20">
        <v>525125029</v>
      </c>
      <c r="B403" s="22" t="s">
        <v>169</v>
      </c>
      <c r="C403" s="25">
        <v>173</v>
      </c>
      <c r="D403" s="25">
        <v>7542</v>
      </c>
      <c r="E403" s="25" t="s">
        <v>164</v>
      </c>
      <c r="F403" s="25" t="s">
        <v>73</v>
      </c>
      <c r="G403" s="10"/>
      <c r="H403" s="25" t="s">
        <v>76</v>
      </c>
      <c r="I403" s="26" t="s">
        <v>71</v>
      </c>
      <c r="J403" s="223"/>
    </row>
    <row r="404" spans="1:10" s="144" customFormat="1" ht="12.75" x14ac:dyDescent="0.25">
      <c r="A404" s="49">
        <v>525125030</v>
      </c>
      <c r="B404" s="22" t="s">
        <v>289</v>
      </c>
      <c r="C404" s="10">
        <v>118</v>
      </c>
      <c r="D404" s="10">
        <v>7542</v>
      </c>
      <c r="E404" s="10" t="s">
        <v>140</v>
      </c>
      <c r="F404" s="25" t="s">
        <v>73</v>
      </c>
      <c r="G404" s="10" t="s">
        <v>286</v>
      </c>
      <c r="H404" s="25" t="s">
        <v>76</v>
      </c>
      <c r="I404" s="23" t="s">
        <v>71</v>
      </c>
      <c r="J404" s="223"/>
    </row>
    <row r="405" spans="1:10" s="144" customFormat="1" ht="12.75" x14ac:dyDescent="0.25">
      <c r="A405" s="7">
        <v>525125032</v>
      </c>
      <c r="B405" s="22" t="s">
        <v>3016</v>
      </c>
      <c r="C405" s="10" t="s">
        <v>3017</v>
      </c>
      <c r="D405" s="10" t="s">
        <v>3018</v>
      </c>
      <c r="E405" s="10" t="s">
        <v>3019</v>
      </c>
      <c r="F405" s="25" t="s">
        <v>73</v>
      </c>
      <c r="G405" s="38"/>
      <c r="H405" s="38"/>
      <c r="I405" s="39" t="s">
        <v>41</v>
      </c>
      <c r="J405" s="223"/>
    </row>
    <row r="406" spans="1:10" s="144" customFormat="1" ht="12.75" x14ac:dyDescent="0.25">
      <c r="A406" s="7">
        <v>525130307</v>
      </c>
      <c r="B406" s="46" t="s">
        <v>742</v>
      </c>
      <c r="C406" s="10">
        <v>67</v>
      </c>
      <c r="D406" s="10">
        <v>987</v>
      </c>
      <c r="E406" s="10" t="s">
        <v>195</v>
      </c>
      <c r="F406" s="25" t="s">
        <v>73</v>
      </c>
      <c r="G406" s="47"/>
      <c r="H406" s="47"/>
      <c r="I406" s="48" t="s">
        <v>260</v>
      </c>
      <c r="J406" s="223"/>
    </row>
    <row r="407" spans="1:10" s="144" customFormat="1" ht="12.75" x14ac:dyDescent="0.25">
      <c r="A407" s="7">
        <v>525200011</v>
      </c>
      <c r="B407" s="22" t="s">
        <v>535</v>
      </c>
      <c r="C407" s="10" t="s">
        <v>270</v>
      </c>
      <c r="D407" s="10" t="s">
        <v>271</v>
      </c>
      <c r="E407" s="10" t="s">
        <v>272</v>
      </c>
      <c r="F407" s="25" t="s">
        <v>73</v>
      </c>
      <c r="G407" s="10"/>
      <c r="H407" s="10"/>
      <c r="I407" s="23" t="s">
        <v>247</v>
      </c>
      <c r="J407" s="223"/>
    </row>
    <row r="408" spans="1:10" s="144" customFormat="1" ht="12.75" x14ac:dyDescent="0.25">
      <c r="A408" s="7">
        <v>525200029</v>
      </c>
      <c r="B408" s="22" t="s">
        <v>1198</v>
      </c>
      <c r="C408" s="10" t="s">
        <v>1199</v>
      </c>
      <c r="D408" s="10" t="s">
        <v>1200</v>
      </c>
      <c r="E408" s="10" t="s">
        <v>1751</v>
      </c>
      <c r="F408" s="10"/>
      <c r="G408" s="10"/>
      <c r="H408" s="10"/>
      <c r="I408" s="23" t="s">
        <v>39</v>
      </c>
      <c r="J408" s="223"/>
    </row>
    <row r="409" spans="1:10" s="144" customFormat="1" ht="12.75" x14ac:dyDescent="0.25">
      <c r="A409" s="49">
        <v>525200038</v>
      </c>
      <c r="B409" s="22" t="s">
        <v>997</v>
      </c>
      <c r="C409" s="10" t="s">
        <v>998</v>
      </c>
      <c r="D409" s="10" t="s">
        <v>999</v>
      </c>
      <c r="E409" s="10" t="s">
        <v>1000</v>
      </c>
      <c r="F409" s="25" t="s">
        <v>73</v>
      </c>
      <c r="G409" s="10"/>
      <c r="H409" s="10"/>
      <c r="I409" s="23" t="s">
        <v>39</v>
      </c>
      <c r="J409" s="223"/>
    </row>
    <row r="410" spans="1:10" s="144" customFormat="1" ht="12.75" x14ac:dyDescent="0.25">
      <c r="A410" s="7">
        <v>525200062</v>
      </c>
      <c r="B410" s="22" t="s">
        <v>345</v>
      </c>
      <c r="C410" s="10">
        <v>120</v>
      </c>
      <c r="D410" s="10">
        <v>8515</v>
      </c>
      <c r="E410" s="10" t="s">
        <v>1016</v>
      </c>
      <c r="F410" s="25" t="s">
        <v>73</v>
      </c>
      <c r="G410" s="10"/>
      <c r="H410" s="10" t="s">
        <v>309</v>
      </c>
      <c r="I410" s="23" t="s">
        <v>96</v>
      </c>
      <c r="J410" s="223"/>
    </row>
    <row r="411" spans="1:10" s="144" customFormat="1" ht="12.75" x14ac:dyDescent="0.25">
      <c r="A411" s="7">
        <v>525200188</v>
      </c>
      <c r="B411" s="22" t="s">
        <v>904</v>
      </c>
      <c r="C411" s="10" t="s">
        <v>905</v>
      </c>
      <c r="D411" s="10" t="s">
        <v>906</v>
      </c>
      <c r="E411" s="10" t="s">
        <v>907</v>
      </c>
      <c r="F411" s="25" t="s">
        <v>73</v>
      </c>
      <c r="G411" s="10"/>
      <c r="H411" s="10"/>
      <c r="I411" s="23" t="s">
        <v>245</v>
      </c>
      <c r="J411" s="223"/>
    </row>
    <row r="412" spans="1:10" s="144" customFormat="1" ht="12.75" x14ac:dyDescent="0.25">
      <c r="A412" s="7">
        <v>525200297</v>
      </c>
      <c r="B412" s="37" t="s">
        <v>537</v>
      </c>
      <c r="C412" s="10" t="s">
        <v>538</v>
      </c>
      <c r="D412" s="10" t="s">
        <v>539</v>
      </c>
      <c r="E412" s="10" t="s">
        <v>540</v>
      </c>
      <c r="F412" s="25" t="s">
        <v>73</v>
      </c>
      <c r="G412" s="38"/>
      <c r="H412" s="38"/>
      <c r="I412" s="39" t="s">
        <v>150</v>
      </c>
      <c r="J412" s="223"/>
    </row>
    <row r="413" spans="1:10" s="144" customFormat="1" ht="12.75" x14ac:dyDescent="0.25">
      <c r="A413" s="7">
        <v>525200298</v>
      </c>
      <c r="B413" s="22" t="s">
        <v>1487</v>
      </c>
      <c r="C413" s="10" t="s">
        <v>624</v>
      </c>
      <c r="D413" s="10" t="s">
        <v>625</v>
      </c>
      <c r="E413" s="10" t="s">
        <v>626</v>
      </c>
      <c r="F413" s="25" t="s">
        <v>73</v>
      </c>
      <c r="G413" s="38"/>
      <c r="H413" s="38"/>
      <c r="I413" s="23" t="s">
        <v>150</v>
      </c>
      <c r="J413" s="223"/>
    </row>
    <row r="414" spans="1:10" s="144" customFormat="1" ht="12.75" x14ac:dyDescent="0.25">
      <c r="A414" s="7">
        <v>525200380</v>
      </c>
      <c r="B414" s="22" t="s">
        <v>170</v>
      </c>
      <c r="C414" s="10">
        <v>60</v>
      </c>
      <c r="D414" s="10">
        <v>484</v>
      </c>
      <c r="E414" s="10">
        <v>2.1</v>
      </c>
      <c r="F414" s="25" t="s">
        <v>73</v>
      </c>
      <c r="G414" s="25"/>
      <c r="H414" s="25" t="s">
        <v>171</v>
      </c>
      <c r="I414" s="23" t="s">
        <v>172</v>
      </c>
      <c r="J414" s="223"/>
    </row>
    <row r="415" spans="1:10" s="144" customFormat="1" ht="12.75" x14ac:dyDescent="0.25">
      <c r="A415" s="7">
        <v>525200388</v>
      </c>
      <c r="B415" s="22" t="s">
        <v>1992</v>
      </c>
      <c r="C415" s="10" t="s">
        <v>574</v>
      </c>
      <c r="D415" s="10" t="s">
        <v>575</v>
      </c>
      <c r="E415" s="10" t="s">
        <v>576</v>
      </c>
      <c r="F415" s="25" t="s">
        <v>73</v>
      </c>
      <c r="G415" s="38"/>
      <c r="H415" s="38"/>
      <c r="I415" s="23" t="s">
        <v>46</v>
      </c>
      <c r="J415" s="223"/>
    </row>
    <row r="416" spans="1:10" s="144" customFormat="1" ht="12.75" x14ac:dyDescent="0.25">
      <c r="A416" s="7">
        <v>525200389</v>
      </c>
      <c r="B416" s="46" t="s">
        <v>745</v>
      </c>
      <c r="C416" s="10" t="s">
        <v>746</v>
      </c>
      <c r="D416" s="10" t="s">
        <v>747</v>
      </c>
      <c r="E416" s="10" t="s">
        <v>3114</v>
      </c>
      <c r="F416" s="25" t="s">
        <v>73</v>
      </c>
      <c r="G416" s="47"/>
      <c r="H416" s="10"/>
      <c r="I416" s="23" t="s">
        <v>41</v>
      </c>
      <c r="J416" s="223"/>
    </row>
    <row r="417" spans="1:10" s="144" customFormat="1" ht="12.75" x14ac:dyDescent="0.25">
      <c r="A417" s="7">
        <v>525200438</v>
      </c>
      <c r="B417" s="22" t="s">
        <v>1182</v>
      </c>
      <c r="C417" s="10" t="s">
        <v>1183</v>
      </c>
      <c r="D417" s="10" t="s">
        <v>1184</v>
      </c>
      <c r="E417" s="10" t="s">
        <v>1185</v>
      </c>
      <c r="F417" s="10"/>
      <c r="G417" s="10"/>
      <c r="H417" s="10"/>
      <c r="I417" s="23" t="s">
        <v>41</v>
      </c>
      <c r="J417" s="223"/>
    </row>
    <row r="418" spans="1:10" s="144" customFormat="1" ht="12.75" x14ac:dyDescent="0.25">
      <c r="A418" s="7">
        <v>525200452</v>
      </c>
      <c r="B418" s="22" t="s">
        <v>173</v>
      </c>
      <c r="C418" s="25">
        <v>28</v>
      </c>
      <c r="D418" s="25">
        <v>249</v>
      </c>
      <c r="E418" s="25" t="s">
        <v>126</v>
      </c>
      <c r="F418" s="25" t="s">
        <v>73</v>
      </c>
      <c r="G418" s="10"/>
      <c r="H418" s="10"/>
      <c r="I418" s="23" t="s">
        <v>249</v>
      </c>
      <c r="J418" s="223"/>
    </row>
    <row r="419" spans="1:10" s="144" customFormat="1" ht="12.75" x14ac:dyDescent="0.25">
      <c r="A419" s="7">
        <v>525200663</v>
      </c>
      <c r="B419" s="22" t="s">
        <v>1860</v>
      </c>
      <c r="C419" s="10" t="s">
        <v>1861</v>
      </c>
      <c r="D419" s="10" t="s">
        <v>1862</v>
      </c>
      <c r="E419" s="10" t="s">
        <v>1455</v>
      </c>
      <c r="F419" s="25" t="s">
        <v>73</v>
      </c>
      <c r="G419" s="10"/>
      <c r="H419" s="10"/>
      <c r="I419" s="23" t="s">
        <v>43</v>
      </c>
      <c r="J419" s="223"/>
    </row>
    <row r="420" spans="1:10" s="144" customFormat="1" ht="12.75" x14ac:dyDescent="0.25">
      <c r="A420" s="49">
        <v>525200748</v>
      </c>
      <c r="B420" s="22" t="s">
        <v>174</v>
      </c>
      <c r="C420" s="10" t="s">
        <v>1579</v>
      </c>
      <c r="D420" s="10">
        <v>4158</v>
      </c>
      <c r="E420" s="10" t="s">
        <v>175</v>
      </c>
      <c r="F420" s="25" t="s">
        <v>73</v>
      </c>
      <c r="G420" s="10"/>
      <c r="H420" s="10"/>
      <c r="I420" s="23" t="s">
        <v>2141</v>
      </c>
      <c r="J420" s="223"/>
    </row>
    <row r="421" spans="1:10" s="144" customFormat="1" ht="12.75" x14ac:dyDescent="0.25">
      <c r="A421" s="49">
        <v>525200796</v>
      </c>
      <c r="B421" s="22" t="s">
        <v>527</v>
      </c>
      <c r="C421" s="10" t="s">
        <v>528</v>
      </c>
      <c r="D421" s="10" t="s">
        <v>529</v>
      </c>
      <c r="E421" s="10" t="s">
        <v>530</v>
      </c>
      <c r="F421" s="25" t="s">
        <v>73</v>
      </c>
      <c r="G421" s="10"/>
      <c r="H421" s="10"/>
      <c r="I421" s="23" t="s">
        <v>41</v>
      </c>
      <c r="J421" s="223"/>
    </row>
    <row r="422" spans="1:10" s="144" customFormat="1" ht="12.75" x14ac:dyDescent="0.25">
      <c r="A422" s="7">
        <v>525200925</v>
      </c>
      <c r="B422" s="22" t="s">
        <v>1168</v>
      </c>
      <c r="C422" s="10">
        <v>195</v>
      </c>
      <c r="D422" s="10">
        <v>20563</v>
      </c>
      <c r="E422" s="10" t="s">
        <v>131</v>
      </c>
      <c r="F422" s="10"/>
      <c r="G422" s="10"/>
      <c r="H422" s="10"/>
      <c r="I422" s="23" t="s">
        <v>48</v>
      </c>
      <c r="J422" s="223"/>
    </row>
    <row r="423" spans="1:10" s="144" customFormat="1" ht="12.75" x14ac:dyDescent="0.25">
      <c r="A423" s="7">
        <v>525201013</v>
      </c>
      <c r="B423" s="22" t="s">
        <v>3718</v>
      </c>
      <c r="C423" s="10" t="s">
        <v>3711</v>
      </c>
      <c r="D423" s="10" t="s">
        <v>1160</v>
      </c>
      <c r="E423" s="10" t="s">
        <v>3712</v>
      </c>
      <c r="F423" s="10"/>
      <c r="G423" s="10"/>
      <c r="H423" s="10"/>
      <c r="I423" s="23" t="s">
        <v>71</v>
      </c>
      <c r="J423" s="223"/>
    </row>
    <row r="424" spans="1:10" s="144" customFormat="1" ht="12.75" x14ac:dyDescent="0.25">
      <c r="A424" s="20">
        <v>525201062</v>
      </c>
      <c r="B424" s="22" t="s">
        <v>176</v>
      </c>
      <c r="C424" s="25">
        <v>120</v>
      </c>
      <c r="D424" s="25">
        <v>8517</v>
      </c>
      <c r="E424" s="25" t="s">
        <v>177</v>
      </c>
      <c r="F424" s="25" t="s">
        <v>73</v>
      </c>
      <c r="G424" s="10"/>
      <c r="H424" s="10" t="s">
        <v>309</v>
      </c>
      <c r="I424" s="26" t="s">
        <v>96</v>
      </c>
      <c r="J424" s="223"/>
    </row>
    <row r="425" spans="1:10" s="144" customFormat="1" ht="12.75" x14ac:dyDescent="0.25">
      <c r="A425" s="7">
        <v>525201144</v>
      </c>
      <c r="B425" s="22" t="s">
        <v>581</v>
      </c>
      <c r="C425" s="25" t="s">
        <v>79</v>
      </c>
      <c r="D425" s="25" t="s">
        <v>79</v>
      </c>
      <c r="E425" s="25" t="s">
        <v>79</v>
      </c>
      <c r="F425" s="25" t="s">
        <v>73</v>
      </c>
      <c r="G425" s="38"/>
      <c r="H425" s="38"/>
      <c r="I425" s="26" t="s">
        <v>79</v>
      </c>
      <c r="J425" s="223"/>
    </row>
    <row r="426" spans="1:10" s="144" customFormat="1" ht="12.75" x14ac:dyDescent="0.25">
      <c r="A426" s="7">
        <v>525201218</v>
      </c>
      <c r="B426" s="22" t="s">
        <v>915</v>
      </c>
      <c r="C426" s="10" t="s">
        <v>911</v>
      </c>
      <c r="D426" s="10" t="s">
        <v>912</v>
      </c>
      <c r="E426" s="10" t="s">
        <v>913</v>
      </c>
      <c r="F426" s="25" t="s">
        <v>73</v>
      </c>
      <c r="G426" s="10"/>
      <c r="H426" s="10" t="s">
        <v>388</v>
      </c>
      <c r="I426" s="23" t="s">
        <v>46</v>
      </c>
      <c r="J426" s="223"/>
    </row>
    <row r="427" spans="1:10" s="144" customFormat="1" ht="12.75" x14ac:dyDescent="0.25">
      <c r="A427" s="7">
        <v>525201219</v>
      </c>
      <c r="B427" s="22" t="s">
        <v>898</v>
      </c>
      <c r="C427" s="10" t="s">
        <v>784</v>
      </c>
      <c r="D427" s="10" t="s">
        <v>785</v>
      </c>
      <c r="E427" s="10" t="s">
        <v>897</v>
      </c>
      <c r="F427" s="25" t="s">
        <v>73</v>
      </c>
      <c r="G427" s="47"/>
      <c r="H427" s="10" t="s">
        <v>388</v>
      </c>
      <c r="I427" s="48" t="s">
        <v>46</v>
      </c>
      <c r="J427" s="223"/>
    </row>
    <row r="428" spans="1:10" s="144" customFormat="1" ht="12.75" x14ac:dyDescent="0.25">
      <c r="A428" s="7">
        <v>525201562</v>
      </c>
      <c r="B428" s="46" t="s">
        <v>632</v>
      </c>
      <c r="C428" s="10" t="s">
        <v>3337</v>
      </c>
      <c r="D428" s="10" t="s">
        <v>3338</v>
      </c>
      <c r="E428" s="10" t="s">
        <v>3339</v>
      </c>
      <c r="F428" s="25" t="s">
        <v>73</v>
      </c>
      <c r="G428" s="47"/>
      <c r="H428" s="47"/>
      <c r="I428" s="48" t="s">
        <v>92</v>
      </c>
      <c r="J428" s="223"/>
    </row>
    <row r="429" spans="1:10" s="144" customFormat="1" ht="12.75" x14ac:dyDescent="0.25">
      <c r="A429" s="7">
        <v>525201694</v>
      </c>
      <c r="B429" s="22" t="s">
        <v>880</v>
      </c>
      <c r="C429" s="10" t="s">
        <v>877</v>
      </c>
      <c r="D429" s="10" t="s">
        <v>878</v>
      </c>
      <c r="E429" s="10" t="s">
        <v>879</v>
      </c>
      <c r="F429" s="25" t="s">
        <v>73</v>
      </c>
      <c r="G429" s="10"/>
      <c r="H429" s="10"/>
      <c r="I429" s="23" t="s">
        <v>46</v>
      </c>
      <c r="J429" s="223"/>
    </row>
    <row r="430" spans="1:10" s="144" customFormat="1" ht="12.75" x14ac:dyDescent="0.25">
      <c r="A430" s="7">
        <v>525201784</v>
      </c>
      <c r="B430" s="46" t="s">
        <v>790</v>
      </c>
      <c r="C430" s="25" t="s">
        <v>791</v>
      </c>
      <c r="D430" s="25" t="s">
        <v>792</v>
      </c>
      <c r="E430" s="25" t="s">
        <v>1096</v>
      </c>
      <c r="F430" s="25" t="s">
        <v>73</v>
      </c>
      <c r="G430" s="47"/>
      <c r="H430" s="47"/>
      <c r="I430" s="23" t="s">
        <v>249</v>
      </c>
      <c r="J430" s="223"/>
    </row>
    <row r="431" spans="1:10" s="144" customFormat="1" ht="12.75" x14ac:dyDescent="0.25">
      <c r="A431" s="49">
        <v>525201828</v>
      </c>
      <c r="B431" s="22" t="s">
        <v>943</v>
      </c>
      <c r="C431" s="10" t="s">
        <v>940</v>
      </c>
      <c r="D431" s="10" t="s">
        <v>941</v>
      </c>
      <c r="E431" s="10" t="s">
        <v>942</v>
      </c>
      <c r="F431" s="25" t="s">
        <v>73</v>
      </c>
      <c r="G431" s="10"/>
      <c r="H431" s="10"/>
      <c r="I431" s="23" t="s">
        <v>262</v>
      </c>
      <c r="J431" s="223"/>
    </row>
    <row r="432" spans="1:10" s="144" customFormat="1" ht="12.75" x14ac:dyDescent="0.25">
      <c r="A432" s="49">
        <v>525201942</v>
      </c>
      <c r="B432" s="46" t="s">
        <v>811</v>
      </c>
      <c r="C432" s="25">
        <v>89</v>
      </c>
      <c r="D432" s="25">
        <v>3830</v>
      </c>
      <c r="E432" s="25" t="s">
        <v>1105</v>
      </c>
      <c r="F432" s="25" t="s">
        <v>73</v>
      </c>
      <c r="G432" s="47"/>
      <c r="H432" s="47"/>
      <c r="I432" s="26" t="s">
        <v>1534</v>
      </c>
      <c r="J432" s="223"/>
    </row>
    <row r="433" spans="1:10" s="144" customFormat="1" ht="12.75" x14ac:dyDescent="0.25">
      <c r="A433" s="7">
        <v>525300001</v>
      </c>
      <c r="B433" s="22" t="s">
        <v>2331</v>
      </c>
      <c r="C433" s="10" t="s">
        <v>585</v>
      </c>
      <c r="D433" s="10" t="s">
        <v>586</v>
      </c>
      <c r="E433" s="10" t="s">
        <v>587</v>
      </c>
      <c r="F433" s="25" t="s">
        <v>73</v>
      </c>
      <c r="G433" s="38"/>
      <c r="H433" s="10" t="s">
        <v>388</v>
      </c>
      <c r="I433" s="23" t="s">
        <v>46</v>
      </c>
      <c r="J433" s="223"/>
    </row>
    <row r="434" spans="1:10" s="144" customFormat="1" ht="12.75" x14ac:dyDescent="0.25">
      <c r="A434" s="7">
        <v>525300013</v>
      </c>
      <c r="B434" s="22" t="s">
        <v>951</v>
      </c>
      <c r="C434" s="10">
        <v>183</v>
      </c>
      <c r="D434" s="10">
        <v>19724</v>
      </c>
      <c r="E434" s="10" t="s">
        <v>952</v>
      </c>
      <c r="F434" s="25" t="s">
        <v>73</v>
      </c>
      <c r="G434" s="10"/>
      <c r="H434" s="10" t="s">
        <v>388</v>
      </c>
      <c r="I434" s="23" t="s">
        <v>46</v>
      </c>
      <c r="J434" s="223"/>
    </row>
    <row r="435" spans="1:10" s="144" customFormat="1" ht="12.75" x14ac:dyDescent="0.25">
      <c r="A435" s="7">
        <v>525300079</v>
      </c>
      <c r="B435" s="46" t="s">
        <v>671</v>
      </c>
      <c r="C435" s="10" t="s">
        <v>240</v>
      </c>
      <c r="D435" s="10" t="s">
        <v>672</v>
      </c>
      <c r="E435" s="10" t="s">
        <v>673</v>
      </c>
      <c r="F435" s="25" t="s">
        <v>73</v>
      </c>
      <c r="G435" s="47"/>
      <c r="H435" s="10" t="s">
        <v>388</v>
      </c>
      <c r="I435" s="48" t="s">
        <v>353</v>
      </c>
      <c r="J435" s="223"/>
    </row>
    <row r="436" spans="1:10" s="144" customFormat="1" ht="12.75" x14ac:dyDescent="0.25">
      <c r="A436" s="7">
        <v>525300155</v>
      </c>
      <c r="B436" s="22" t="s">
        <v>344</v>
      </c>
      <c r="C436" s="10">
        <v>84</v>
      </c>
      <c r="D436" s="10">
        <v>2063</v>
      </c>
      <c r="E436" s="10" t="s">
        <v>178</v>
      </c>
      <c r="F436" s="25" t="s">
        <v>73</v>
      </c>
      <c r="G436" s="10"/>
      <c r="H436" s="10"/>
      <c r="I436" s="23" t="s">
        <v>1534</v>
      </c>
      <c r="J436" s="223"/>
    </row>
    <row r="437" spans="1:10" s="144" customFormat="1" ht="12.75" x14ac:dyDescent="0.25">
      <c r="A437" s="7">
        <v>525300212</v>
      </c>
      <c r="B437" s="46" t="s">
        <v>683</v>
      </c>
      <c r="C437" s="10" t="s">
        <v>684</v>
      </c>
      <c r="D437" s="10" t="s">
        <v>685</v>
      </c>
      <c r="E437" s="10" t="s">
        <v>686</v>
      </c>
      <c r="F437" s="25" t="s">
        <v>73</v>
      </c>
      <c r="G437" s="47"/>
      <c r="H437" s="47"/>
      <c r="I437" s="48" t="s">
        <v>245</v>
      </c>
      <c r="J437" s="223"/>
    </row>
    <row r="438" spans="1:10" s="144" customFormat="1" ht="12.75" x14ac:dyDescent="0.25">
      <c r="A438" s="49">
        <v>525300282</v>
      </c>
      <c r="B438" s="22" t="s">
        <v>1173</v>
      </c>
      <c r="C438" s="10" t="s">
        <v>1174</v>
      </c>
      <c r="D438" s="10" t="s">
        <v>1175</v>
      </c>
      <c r="E438" s="10" t="s">
        <v>564</v>
      </c>
      <c r="F438" s="10"/>
      <c r="G438" s="10"/>
      <c r="H438" s="10"/>
      <c r="I438" s="23" t="s">
        <v>39</v>
      </c>
      <c r="J438" s="223"/>
    </row>
    <row r="439" spans="1:10" s="144" customFormat="1" ht="12.75" x14ac:dyDescent="0.25">
      <c r="A439" s="49">
        <v>525300285</v>
      </c>
      <c r="B439" s="22" t="s">
        <v>926</v>
      </c>
      <c r="C439" s="10" t="s">
        <v>927</v>
      </c>
      <c r="D439" s="10" t="s">
        <v>928</v>
      </c>
      <c r="E439" s="10" t="s">
        <v>929</v>
      </c>
      <c r="F439" s="25" t="s">
        <v>73</v>
      </c>
      <c r="G439" s="10"/>
      <c r="H439" s="10"/>
      <c r="I439" s="23" t="s">
        <v>39</v>
      </c>
      <c r="J439" s="223"/>
    </row>
    <row r="440" spans="1:10" s="144" customFormat="1" ht="12.75" x14ac:dyDescent="0.25">
      <c r="A440" s="20">
        <v>525300319</v>
      </c>
      <c r="B440" s="22" t="s">
        <v>179</v>
      </c>
      <c r="C440" s="25">
        <v>92</v>
      </c>
      <c r="D440" s="25">
        <v>2266</v>
      </c>
      <c r="E440" s="25">
        <v>3.6</v>
      </c>
      <c r="F440" s="25" t="s">
        <v>73</v>
      </c>
      <c r="G440" s="10"/>
      <c r="H440" s="10"/>
      <c r="I440" s="26" t="s">
        <v>79</v>
      </c>
      <c r="J440" s="223"/>
    </row>
    <row r="441" spans="1:10" s="144" customFormat="1" ht="12.75" x14ac:dyDescent="0.25">
      <c r="A441" s="7">
        <v>525300333</v>
      </c>
      <c r="B441" s="46" t="s">
        <v>825</v>
      </c>
      <c r="C441" s="25" t="s">
        <v>826</v>
      </c>
      <c r="D441" s="25" t="s">
        <v>827</v>
      </c>
      <c r="E441" s="25" t="s">
        <v>230</v>
      </c>
      <c r="F441" s="25" t="s">
        <v>73</v>
      </c>
      <c r="G441" s="47"/>
      <c r="H441" s="10" t="s">
        <v>388</v>
      </c>
      <c r="I441" s="50" t="s">
        <v>46</v>
      </c>
      <c r="J441" s="223"/>
    </row>
    <row r="442" spans="1:10" s="144" customFormat="1" ht="12.75" x14ac:dyDescent="0.25">
      <c r="A442" s="7">
        <v>525300471</v>
      </c>
      <c r="B442" s="22" t="s">
        <v>1095</v>
      </c>
      <c r="C442" s="25">
        <v>49</v>
      </c>
      <c r="D442" s="25">
        <v>584</v>
      </c>
      <c r="E442" s="25" t="s">
        <v>1035</v>
      </c>
      <c r="F442" s="25" t="s">
        <v>73</v>
      </c>
      <c r="G442" s="47"/>
      <c r="H442" s="47"/>
      <c r="I442" s="50" t="s">
        <v>260</v>
      </c>
      <c r="J442" s="223"/>
    </row>
    <row r="443" spans="1:10" s="144" customFormat="1" ht="12.75" x14ac:dyDescent="0.25">
      <c r="A443" s="20">
        <v>525300475</v>
      </c>
      <c r="B443" s="22" t="s">
        <v>180</v>
      </c>
      <c r="C443" s="25">
        <v>56</v>
      </c>
      <c r="D443" s="27">
        <v>667</v>
      </c>
      <c r="E443" s="25">
        <v>2.9</v>
      </c>
      <c r="F443" s="25" t="s">
        <v>73</v>
      </c>
      <c r="G443" s="25"/>
      <c r="H443" s="10" t="s">
        <v>309</v>
      </c>
      <c r="I443" s="26" t="s">
        <v>96</v>
      </c>
      <c r="J443" s="223"/>
    </row>
    <row r="444" spans="1:10" s="144" customFormat="1" ht="12.75" x14ac:dyDescent="0.25">
      <c r="A444" s="7">
        <v>525300530</v>
      </c>
      <c r="B444" s="22" t="s">
        <v>397</v>
      </c>
      <c r="C444" s="10" t="s">
        <v>398</v>
      </c>
      <c r="D444" s="10" t="s">
        <v>400</v>
      </c>
      <c r="E444" s="10" t="s">
        <v>401</v>
      </c>
      <c r="F444" s="25" t="s">
        <v>73</v>
      </c>
      <c r="G444" s="10"/>
      <c r="H444" s="10" t="s">
        <v>402</v>
      </c>
      <c r="I444" s="23" t="s">
        <v>245</v>
      </c>
      <c r="J444" s="223"/>
    </row>
    <row r="445" spans="1:10" s="144" customFormat="1" ht="12.75" x14ac:dyDescent="0.25">
      <c r="A445" s="21">
        <v>525300906</v>
      </c>
      <c r="B445" s="22" t="s">
        <v>369</v>
      </c>
      <c r="C445" s="10" t="s">
        <v>381</v>
      </c>
      <c r="D445" s="10" t="s">
        <v>382</v>
      </c>
      <c r="E445" s="10" t="s">
        <v>383</v>
      </c>
      <c r="F445" s="25" t="s">
        <v>73</v>
      </c>
      <c r="G445" s="10"/>
      <c r="H445" s="10" t="s">
        <v>354</v>
      </c>
      <c r="I445" s="23" t="s">
        <v>92</v>
      </c>
      <c r="J445" s="223"/>
    </row>
    <row r="446" spans="1:10" s="144" customFormat="1" ht="12.75" x14ac:dyDescent="0.25">
      <c r="A446" s="21">
        <v>525300942</v>
      </c>
      <c r="B446" s="22" t="s">
        <v>944</v>
      </c>
      <c r="C446" s="10" t="s">
        <v>945</v>
      </c>
      <c r="D446" s="10" t="s">
        <v>946</v>
      </c>
      <c r="E446" s="10" t="s">
        <v>947</v>
      </c>
      <c r="F446" s="25" t="s">
        <v>73</v>
      </c>
      <c r="G446" s="10"/>
      <c r="H446" s="10"/>
      <c r="I446" s="23" t="s">
        <v>262</v>
      </c>
      <c r="J446" s="223"/>
    </row>
    <row r="447" spans="1:10" s="144" customFormat="1" ht="12.75" x14ac:dyDescent="0.25">
      <c r="A447" s="21">
        <v>525301035</v>
      </c>
      <c r="B447" s="22" t="s">
        <v>343</v>
      </c>
      <c r="C447" s="10">
        <v>54</v>
      </c>
      <c r="D447" s="10">
        <v>709</v>
      </c>
      <c r="E447" s="10" t="s">
        <v>59</v>
      </c>
      <c r="F447" s="25" t="s">
        <v>73</v>
      </c>
      <c r="G447" s="10"/>
      <c r="H447" s="10"/>
      <c r="I447" s="23" t="s">
        <v>260</v>
      </c>
      <c r="J447" s="223"/>
    </row>
    <row r="448" spans="1:10" s="144" customFormat="1" ht="12.75" x14ac:dyDescent="0.25">
      <c r="A448" s="21">
        <v>525301145</v>
      </c>
      <c r="B448" s="22" t="s">
        <v>2935</v>
      </c>
      <c r="C448" s="10" t="s">
        <v>2936</v>
      </c>
      <c r="D448" s="10" t="s">
        <v>2937</v>
      </c>
      <c r="E448" s="40" t="s">
        <v>1717</v>
      </c>
      <c r="F448" s="25" t="s">
        <v>73</v>
      </c>
      <c r="G448" s="38"/>
      <c r="H448" s="38" t="s">
        <v>307</v>
      </c>
      <c r="I448" s="39" t="s">
        <v>39</v>
      </c>
      <c r="J448" s="223"/>
    </row>
    <row r="449" spans="1:10" s="144" customFormat="1" ht="12.75" x14ac:dyDescent="0.25">
      <c r="A449" s="21">
        <v>525301151</v>
      </c>
      <c r="B449" s="22" t="s">
        <v>181</v>
      </c>
      <c r="C449" s="10" t="s">
        <v>3672</v>
      </c>
      <c r="D449" s="10">
        <v>2795</v>
      </c>
      <c r="E449" s="10" t="s">
        <v>3069</v>
      </c>
      <c r="F449" s="25" t="s">
        <v>73</v>
      </c>
      <c r="G449" s="10"/>
      <c r="H449" s="10"/>
      <c r="I449" s="23" t="s">
        <v>92</v>
      </c>
      <c r="J449" s="223"/>
    </row>
    <row r="450" spans="1:10" s="144" customFormat="1" ht="12.75" x14ac:dyDescent="0.25">
      <c r="A450" s="49">
        <v>525301523</v>
      </c>
      <c r="B450" s="22" t="s">
        <v>1097</v>
      </c>
      <c r="C450" s="10" t="s">
        <v>1099</v>
      </c>
      <c r="D450" s="10" t="s">
        <v>1100</v>
      </c>
      <c r="E450" s="10" t="s">
        <v>1101</v>
      </c>
      <c r="F450" s="25" t="s">
        <v>73</v>
      </c>
      <c r="G450" s="47"/>
      <c r="H450" s="10"/>
      <c r="I450" s="23" t="s">
        <v>165</v>
      </c>
      <c r="J450" s="223"/>
    </row>
    <row r="451" spans="1:10" s="144" customFormat="1" ht="12.75" x14ac:dyDescent="0.25">
      <c r="A451" s="7">
        <v>525301673</v>
      </c>
      <c r="B451" s="46" t="s">
        <v>707</v>
      </c>
      <c r="C451" s="10">
        <v>76</v>
      </c>
      <c r="D451" s="10">
        <v>498</v>
      </c>
      <c r="E451" s="10">
        <v>5.3</v>
      </c>
      <c r="F451" s="25" t="s">
        <v>73</v>
      </c>
      <c r="G451" s="47"/>
      <c r="H451" s="10"/>
      <c r="I451" s="48" t="s">
        <v>39</v>
      </c>
      <c r="J451" s="223"/>
    </row>
    <row r="452" spans="1:10" s="144" customFormat="1" ht="12.75" x14ac:dyDescent="0.25">
      <c r="A452" s="7">
        <v>525301854</v>
      </c>
      <c r="B452" s="46" t="s">
        <v>630</v>
      </c>
      <c r="C452" s="10">
        <v>114</v>
      </c>
      <c r="D452" s="10">
        <v>5372</v>
      </c>
      <c r="E452" s="10">
        <v>5.3</v>
      </c>
      <c r="F452" s="25" t="s">
        <v>73</v>
      </c>
      <c r="G452" s="47"/>
      <c r="H452" s="10" t="s">
        <v>309</v>
      </c>
      <c r="I452" s="48" t="s">
        <v>96</v>
      </c>
      <c r="J452" s="223"/>
    </row>
    <row r="453" spans="1:10" s="144" customFormat="1" ht="12.75" x14ac:dyDescent="0.25">
      <c r="A453" s="24" t="s">
        <v>1486</v>
      </c>
      <c r="B453" s="22" t="s">
        <v>1485</v>
      </c>
      <c r="C453" s="10" t="s">
        <v>439</v>
      </c>
      <c r="D453" s="10" t="s">
        <v>440</v>
      </c>
      <c r="E453" s="10" t="s">
        <v>441</v>
      </c>
      <c r="F453" s="25" t="s">
        <v>73</v>
      </c>
      <c r="G453" s="10"/>
      <c r="H453" s="10" t="s">
        <v>354</v>
      </c>
      <c r="I453" s="23" t="s">
        <v>92</v>
      </c>
      <c r="J453" s="223"/>
    </row>
    <row r="454" spans="1:10" s="144" customFormat="1" ht="12.75" x14ac:dyDescent="0.25">
      <c r="A454" s="21">
        <v>525400093</v>
      </c>
      <c r="B454" s="22" t="s">
        <v>2613</v>
      </c>
      <c r="C454" s="10" t="s">
        <v>241</v>
      </c>
      <c r="D454" s="10" t="s">
        <v>2614</v>
      </c>
      <c r="E454" s="10" t="s">
        <v>644</v>
      </c>
      <c r="F454" s="25" t="s">
        <v>73</v>
      </c>
      <c r="G454" s="10"/>
      <c r="H454" s="10"/>
      <c r="I454" s="23" t="s">
        <v>353</v>
      </c>
      <c r="J454" s="223"/>
    </row>
    <row r="455" spans="1:10" s="144" customFormat="1" ht="12.75" x14ac:dyDescent="0.25">
      <c r="A455" s="21">
        <v>525400300</v>
      </c>
      <c r="B455" s="22" t="s">
        <v>931</v>
      </c>
      <c r="C455" s="10">
        <v>94</v>
      </c>
      <c r="D455" s="10">
        <v>2014</v>
      </c>
      <c r="E455" s="10" t="s">
        <v>112</v>
      </c>
      <c r="F455" s="25" t="s">
        <v>73</v>
      </c>
      <c r="G455" s="10"/>
      <c r="H455" s="10"/>
      <c r="I455" s="23" t="s">
        <v>154</v>
      </c>
      <c r="J455" s="223"/>
    </row>
    <row r="456" spans="1:10" s="144" customFormat="1" ht="12.75" x14ac:dyDescent="0.25">
      <c r="A456" s="21">
        <v>525400302</v>
      </c>
      <c r="B456" s="46" t="s">
        <v>606</v>
      </c>
      <c r="C456" s="10">
        <v>114</v>
      </c>
      <c r="D456" s="10">
        <v>5546</v>
      </c>
      <c r="E456" s="10">
        <v>7.5</v>
      </c>
      <c r="F456" s="25" t="s">
        <v>73</v>
      </c>
      <c r="G456" s="47"/>
      <c r="H456" s="47"/>
      <c r="I456" s="48" t="s">
        <v>154</v>
      </c>
      <c r="J456" s="223"/>
    </row>
    <row r="457" spans="1:10" s="144" customFormat="1" ht="12.75" x14ac:dyDescent="0.25">
      <c r="A457" s="21">
        <v>525400397</v>
      </c>
      <c r="B457" s="22" t="s">
        <v>3346</v>
      </c>
      <c r="C457" s="25" t="s">
        <v>3347</v>
      </c>
      <c r="D457" s="25" t="s">
        <v>1019</v>
      </c>
      <c r="E457" s="25" t="s">
        <v>3348</v>
      </c>
      <c r="F457" s="25" t="s">
        <v>73</v>
      </c>
      <c r="G457" s="10"/>
      <c r="H457" s="10" t="s">
        <v>307</v>
      </c>
      <c r="I457" s="23" t="s">
        <v>1870</v>
      </c>
      <c r="J457" s="223"/>
    </row>
    <row r="458" spans="1:10" s="144" customFormat="1" ht="12.75" x14ac:dyDescent="0.25">
      <c r="A458" s="21">
        <v>525400450</v>
      </c>
      <c r="B458" s="22" t="s">
        <v>1817</v>
      </c>
      <c r="C458" s="10" t="s">
        <v>568</v>
      </c>
      <c r="D458" s="10" t="s">
        <v>569</v>
      </c>
      <c r="E458" s="10" t="s">
        <v>1818</v>
      </c>
      <c r="F458" s="25" t="s">
        <v>73</v>
      </c>
      <c r="G458" s="38"/>
      <c r="H458" s="38"/>
      <c r="I458" s="23" t="s">
        <v>389</v>
      </c>
      <c r="J458" s="223"/>
    </row>
    <row r="459" spans="1:10" s="144" customFormat="1" ht="12.75" x14ac:dyDescent="0.25">
      <c r="A459" s="21">
        <v>525400468</v>
      </c>
      <c r="B459" s="22" t="s">
        <v>1034</v>
      </c>
      <c r="C459" s="10">
        <v>65</v>
      </c>
      <c r="D459" s="10">
        <v>768</v>
      </c>
      <c r="E459" s="10" t="s">
        <v>1035</v>
      </c>
      <c r="F459" s="25" t="s">
        <v>73</v>
      </c>
      <c r="G459" s="10"/>
      <c r="H459" s="10"/>
      <c r="I459" s="23" t="s">
        <v>1036</v>
      </c>
      <c r="J459" s="223"/>
    </row>
    <row r="460" spans="1:10" s="144" customFormat="1" ht="12.75" x14ac:dyDescent="0.25">
      <c r="A460" s="21">
        <v>525400469</v>
      </c>
      <c r="B460" s="46" t="s">
        <v>721</v>
      </c>
      <c r="C460" s="10" t="s">
        <v>722</v>
      </c>
      <c r="D460" s="10" t="s">
        <v>723</v>
      </c>
      <c r="E460" s="10" t="s">
        <v>1907</v>
      </c>
      <c r="F460" s="25" t="s">
        <v>73</v>
      </c>
      <c r="G460" s="47"/>
      <c r="H460" s="47"/>
      <c r="I460" s="23" t="s">
        <v>262</v>
      </c>
      <c r="J460" s="223"/>
    </row>
    <row r="461" spans="1:10" s="144" customFormat="1" ht="12.75" x14ac:dyDescent="0.25">
      <c r="A461" s="21">
        <v>525400632</v>
      </c>
      <c r="B461" s="22" t="s">
        <v>589</v>
      </c>
      <c r="C461" s="10">
        <v>70</v>
      </c>
      <c r="D461" s="10">
        <v>1245</v>
      </c>
      <c r="E461" s="10" t="s">
        <v>101</v>
      </c>
      <c r="F461" s="25" t="s">
        <v>73</v>
      </c>
      <c r="G461" s="38"/>
      <c r="H461" s="38"/>
      <c r="I461" s="23" t="s">
        <v>39</v>
      </c>
      <c r="J461" s="223"/>
    </row>
    <row r="462" spans="1:10" s="144" customFormat="1" ht="12.75" x14ac:dyDescent="0.25">
      <c r="A462" s="21">
        <v>525400702</v>
      </c>
      <c r="B462" s="22" t="s">
        <v>592</v>
      </c>
      <c r="C462" s="10" t="s">
        <v>920</v>
      </c>
      <c r="D462" s="10" t="s">
        <v>920</v>
      </c>
      <c r="E462" s="10" t="s">
        <v>920</v>
      </c>
      <c r="F462" s="25" t="s">
        <v>73</v>
      </c>
      <c r="G462" s="38"/>
      <c r="H462" s="38"/>
      <c r="I462" s="23" t="s">
        <v>920</v>
      </c>
      <c r="J462" s="223"/>
    </row>
    <row r="463" spans="1:10" s="144" customFormat="1" ht="12.75" x14ac:dyDescent="0.25">
      <c r="A463" s="21">
        <v>525400725</v>
      </c>
      <c r="B463" s="46" t="s">
        <v>865</v>
      </c>
      <c r="C463" s="25" t="s">
        <v>866</v>
      </c>
      <c r="D463" s="25" t="s">
        <v>867</v>
      </c>
      <c r="E463" s="25" t="s">
        <v>1697</v>
      </c>
      <c r="F463" s="25" t="s">
        <v>73</v>
      </c>
      <c r="G463" s="47"/>
      <c r="H463" s="47"/>
      <c r="I463" s="26" t="s">
        <v>41</v>
      </c>
      <c r="J463" s="223"/>
    </row>
    <row r="464" spans="1:10" s="144" customFormat="1" ht="12.75" x14ac:dyDescent="0.25">
      <c r="A464" s="21">
        <v>525400827</v>
      </c>
      <c r="B464" s="22" t="s">
        <v>1156</v>
      </c>
      <c r="C464" s="10" t="s">
        <v>676</v>
      </c>
      <c r="D464" s="10" t="s">
        <v>1154</v>
      </c>
      <c r="E464" s="40" t="s">
        <v>1155</v>
      </c>
      <c r="F464" s="10"/>
      <c r="G464" s="10"/>
      <c r="H464" s="10"/>
      <c r="I464" s="23" t="s">
        <v>262</v>
      </c>
      <c r="J464" s="223"/>
    </row>
    <row r="465" spans="1:10" s="144" customFormat="1" ht="12.75" x14ac:dyDescent="0.25">
      <c r="A465" s="21">
        <v>525400858</v>
      </c>
      <c r="B465" s="46" t="s">
        <v>743</v>
      </c>
      <c r="C465" s="10">
        <v>46</v>
      </c>
      <c r="D465" s="10">
        <v>558</v>
      </c>
      <c r="E465" s="10" t="s">
        <v>744</v>
      </c>
      <c r="F465" s="25" t="s">
        <v>73</v>
      </c>
      <c r="G465" s="47"/>
      <c r="H465" s="47"/>
      <c r="I465" s="48" t="s">
        <v>246</v>
      </c>
      <c r="J465" s="223"/>
    </row>
    <row r="466" spans="1:10" s="144" customFormat="1" ht="12.75" x14ac:dyDescent="0.25">
      <c r="A466" s="21">
        <v>525401151</v>
      </c>
      <c r="B466" s="22" t="s">
        <v>2489</v>
      </c>
      <c r="C466" s="10" t="s">
        <v>611</v>
      </c>
      <c r="D466" s="10" t="s">
        <v>612</v>
      </c>
      <c r="E466" s="40" t="s">
        <v>613</v>
      </c>
      <c r="F466" s="25" t="s">
        <v>73</v>
      </c>
      <c r="G466" s="47"/>
      <c r="H466" s="10" t="s">
        <v>388</v>
      </c>
      <c r="I466" s="48" t="s">
        <v>46</v>
      </c>
      <c r="J466" s="223"/>
    </row>
    <row r="467" spans="1:10" s="144" customFormat="1" ht="12.75" x14ac:dyDescent="0.25">
      <c r="A467" s="21">
        <v>525401207</v>
      </c>
      <c r="B467" s="22" t="s">
        <v>1098</v>
      </c>
      <c r="C467" s="10">
        <v>120</v>
      </c>
      <c r="D467" s="10">
        <v>5371</v>
      </c>
      <c r="E467" s="10" t="s">
        <v>824</v>
      </c>
      <c r="F467" s="25" t="s">
        <v>73</v>
      </c>
      <c r="G467" s="10"/>
      <c r="H467" s="10"/>
      <c r="I467" s="23" t="s">
        <v>45</v>
      </c>
      <c r="J467" s="223"/>
    </row>
    <row r="468" spans="1:10" s="144" customFormat="1" ht="12.75" x14ac:dyDescent="0.25">
      <c r="A468" s="21">
        <v>525401211</v>
      </c>
      <c r="B468" s="46" t="s">
        <v>828</v>
      </c>
      <c r="C468" s="25" t="s">
        <v>835</v>
      </c>
      <c r="D468" s="25" t="s">
        <v>836</v>
      </c>
      <c r="E468" s="25" t="s">
        <v>829</v>
      </c>
      <c r="F468" s="25" t="s">
        <v>73</v>
      </c>
      <c r="G468" s="47"/>
      <c r="H468" s="47"/>
      <c r="I468" s="50" t="s">
        <v>39</v>
      </c>
      <c r="J468" s="223"/>
    </row>
    <row r="469" spans="1:10" s="144" customFormat="1" ht="12.75" x14ac:dyDescent="0.25">
      <c r="A469" s="21">
        <v>525401781</v>
      </c>
      <c r="B469" s="22" t="s">
        <v>918</v>
      </c>
      <c r="C469" s="10" t="s">
        <v>2017</v>
      </c>
      <c r="D469" s="10" t="s">
        <v>2270</v>
      </c>
      <c r="E469" s="10" t="s">
        <v>2271</v>
      </c>
      <c r="F469" s="25" t="s">
        <v>73</v>
      </c>
      <c r="G469" s="10"/>
      <c r="H469" s="10"/>
      <c r="I469" s="23" t="s">
        <v>43</v>
      </c>
      <c r="J469" s="223"/>
    </row>
    <row r="470" spans="1:10" s="144" customFormat="1" ht="12.75" x14ac:dyDescent="0.25">
      <c r="A470" s="21">
        <v>525500011</v>
      </c>
      <c r="B470" s="22" t="s">
        <v>1091</v>
      </c>
      <c r="C470" s="10" t="s">
        <v>1092</v>
      </c>
      <c r="D470" s="10" t="s">
        <v>1093</v>
      </c>
      <c r="E470" s="10" t="s">
        <v>1094</v>
      </c>
      <c r="F470" s="25" t="s">
        <v>73</v>
      </c>
      <c r="G470" s="10"/>
      <c r="H470" s="10"/>
      <c r="I470" s="23" t="s">
        <v>150</v>
      </c>
      <c r="J470" s="223"/>
    </row>
    <row r="471" spans="1:10" s="144" customFormat="1" ht="12.75" x14ac:dyDescent="0.25">
      <c r="A471" s="21">
        <v>525500030</v>
      </c>
      <c r="B471" s="22" t="s">
        <v>893</v>
      </c>
      <c r="C471" s="10" t="s">
        <v>894</v>
      </c>
      <c r="D471" s="10" t="s">
        <v>895</v>
      </c>
      <c r="E471" s="10" t="s">
        <v>1893</v>
      </c>
      <c r="F471" s="25" t="s">
        <v>73</v>
      </c>
      <c r="G471" s="10"/>
      <c r="H471" s="10"/>
      <c r="I471" s="23" t="s">
        <v>245</v>
      </c>
      <c r="J471" s="223"/>
    </row>
    <row r="472" spans="1:10" s="144" customFormat="1" ht="12.75" x14ac:dyDescent="0.25">
      <c r="A472" s="21">
        <v>525500147</v>
      </c>
      <c r="B472" s="22" t="s">
        <v>361</v>
      </c>
      <c r="C472" s="10">
        <v>60</v>
      </c>
      <c r="D472" s="10">
        <v>1054</v>
      </c>
      <c r="E472" s="10">
        <v>5.0999999999999996</v>
      </c>
      <c r="F472" s="25" t="s">
        <v>73</v>
      </c>
      <c r="G472" s="10"/>
      <c r="H472" s="10" t="s">
        <v>307</v>
      </c>
      <c r="I472" s="23" t="s">
        <v>39</v>
      </c>
      <c r="J472" s="223"/>
    </row>
    <row r="473" spans="1:10" s="144" customFormat="1" ht="12.75" x14ac:dyDescent="0.25">
      <c r="A473" s="21">
        <v>525500171</v>
      </c>
      <c r="B473" s="22" t="s">
        <v>2902</v>
      </c>
      <c r="C473" s="10">
        <v>29</v>
      </c>
      <c r="D473" s="10">
        <v>255</v>
      </c>
      <c r="E473" s="10" t="s">
        <v>764</v>
      </c>
      <c r="F473" s="25" t="s">
        <v>73</v>
      </c>
      <c r="G473" s="47"/>
      <c r="H473" s="47"/>
      <c r="I473" s="48" t="s">
        <v>183</v>
      </c>
      <c r="J473" s="223"/>
    </row>
    <row r="474" spans="1:10" s="144" customFormat="1" ht="12.75" x14ac:dyDescent="0.25">
      <c r="A474" s="21">
        <v>525500217</v>
      </c>
      <c r="B474" s="22" t="s">
        <v>416</v>
      </c>
      <c r="C474" s="10" t="s">
        <v>417</v>
      </c>
      <c r="D474" s="10" t="s">
        <v>418</v>
      </c>
      <c r="E474" s="10" t="s">
        <v>1830</v>
      </c>
      <c r="F474" s="25" t="s">
        <v>73</v>
      </c>
      <c r="G474" s="10"/>
      <c r="H474" s="10" t="s">
        <v>354</v>
      </c>
      <c r="I474" s="23" t="s">
        <v>92</v>
      </c>
      <c r="J474" s="223"/>
    </row>
    <row r="475" spans="1:10" s="144" customFormat="1" ht="12.75" x14ac:dyDescent="0.25">
      <c r="A475" s="21">
        <v>525500293</v>
      </c>
      <c r="B475" s="22" t="s">
        <v>342</v>
      </c>
      <c r="C475" s="10">
        <v>30</v>
      </c>
      <c r="D475" s="10">
        <v>325</v>
      </c>
      <c r="E475" s="10">
        <v>3.48</v>
      </c>
      <c r="F475" s="25" t="s">
        <v>73</v>
      </c>
      <c r="G475" s="10"/>
      <c r="H475" s="10"/>
      <c r="I475" s="23" t="s">
        <v>182</v>
      </c>
      <c r="J475" s="223"/>
    </row>
    <row r="476" spans="1:10" s="144" customFormat="1" ht="12.75" x14ac:dyDescent="0.25">
      <c r="A476" s="21">
        <v>525500451</v>
      </c>
      <c r="B476" s="22" t="s">
        <v>362</v>
      </c>
      <c r="C476" s="10" t="s">
        <v>363</v>
      </c>
      <c r="D476" s="10" t="s">
        <v>364</v>
      </c>
      <c r="E476" s="10" t="s">
        <v>365</v>
      </c>
      <c r="F476" s="25" t="s">
        <v>73</v>
      </c>
      <c r="G476" s="10"/>
      <c r="H476" s="10" t="s">
        <v>308</v>
      </c>
      <c r="I476" s="23" t="s">
        <v>145</v>
      </c>
      <c r="J476" s="223"/>
    </row>
    <row r="477" spans="1:10" s="144" customFormat="1" ht="12.75" x14ac:dyDescent="0.25">
      <c r="A477" s="21">
        <v>525500525</v>
      </c>
      <c r="B477" s="22" t="s">
        <v>1228</v>
      </c>
      <c r="C477" s="10" t="s">
        <v>1229</v>
      </c>
      <c r="D477" s="10" t="s">
        <v>1230</v>
      </c>
      <c r="E477" s="10" t="s">
        <v>1575</v>
      </c>
      <c r="F477" s="10"/>
      <c r="G477" s="10"/>
      <c r="H477" s="10"/>
      <c r="I477" s="23" t="s">
        <v>153</v>
      </c>
      <c r="J477" s="223"/>
    </row>
    <row r="478" spans="1:10" s="144" customFormat="1" ht="12.75" x14ac:dyDescent="0.25">
      <c r="A478" s="21">
        <v>525500765</v>
      </c>
      <c r="B478" s="22" t="s">
        <v>651</v>
      </c>
      <c r="C478" s="10">
        <v>36.5</v>
      </c>
      <c r="D478" s="10">
        <v>300</v>
      </c>
      <c r="E478" s="10" t="s">
        <v>1061</v>
      </c>
      <c r="F478" s="25" t="s">
        <v>73</v>
      </c>
      <c r="G478" s="38"/>
      <c r="H478" s="38"/>
      <c r="I478" s="23" t="s">
        <v>183</v>
      </c>
      <c r="J478" s="223"/>
    </row>
    <row r="479" spans="1:10" s="144" customFormat="1" ht="12.75" x14ac:dyDescent="0.25">
      <c r="A479" s="21">
        <v>525500785</v>
      </c>
      <c r="B479" s="22" t="s">
        <v>526</v>
      </c>
      <c r="C479" s="10">
        <v>46.5</v>
      </c>
      <c r="D479" s="10">
        <v>495</v>
      </c>
      <c r="E479" s="10">
        <v>3.2</v>
      </c>
      <c r="F479" s="25" t="s">
        <v>73</v>
      </c>
      <c r="G479" s="10"/>
      <c r="H479" s="10"/>
      <c r="I479" s="23" t="s">
        <v>150</v>
      </c>
      <c r="J479" s="223"/>
    </row>
    <row r="480" spans="1:10" s="144" customFormat="1" ht="12.75" x14ac:dyDescent="0.25">
      <c r="A480" s="21">
        <v>525500828</v>
      </c>
      <c r="B480" s="22" t="s">
        <v>1104</v>
      </c>
      <c r="C480" s="10">
        <v>35</v>
      </c>
      <c r="D480" s="10">
        <v>282</v>
      </c>
      <c r="E480" s="10">
        <v>4</v>
      </c>
      <c r="F480" s="25" t="s">
        <v>73</v>
      </c>
      <c r="G480" s="10"/>
      <c r="H480" s="10"/>
      <c r="I480" s="23" t="s">
        <v>183</v>
      </c>
      <c r="J480" s="223"/>
    </row>
    <row r="481" spans="1:10" s="144" customFormat="1" ht="12.75" x14ac:dyDescent="0.25">
      <c r="A481" s="21">
        <v>525500830</v>
      </c>
      <c r="B481" s="22" t="s">
        <v>341</v>
      </c>
      <c r="C481" s="10">
        <v>67</v>
      </c>
      <c r="D481" s="25">
        <v>301</v>
      </c>
      <c r="E481" s="25" t="s">
        <v>1061</v>
      </c>
      <c r="F481" s="25" t="s">
        <v>73</v>
      </c>
      <c r="G481" s="10"/>
      <c r="H481" s="10"/>
      <c r="I481" s="23" t="s">
        <v>183</v>
      </c>
      <c r="J481" s="223"/>
    </row>
    <row r="482" spans="1:10" s="144" customFormat="1" ht="12.75" x14ac:dyDescent="0.25">
      <c r="A482" s="21">
        <v>525500927</v>
      </c>
      <c r="B482" s="22" t="s">
        <v>340</v>
      </c>
      <c r="C482" s="10">
        <v>34</v>
      </c>
      <c r="D482" s="10">
        <v>393</v>
      </c>
      <c r="E482" s="10" t="s">
        <v>1103</v>
      </c>
      <c r="F482" s="25" t="s">
        <v>73</v>
      </c>
      <c r="G482" s="10"/>
      <c r="H482" s="10"/>
      <c r="I482" s="23" t="s">
        <v>184</v>
      </c>
      <c r="J482" s="223"/>
    </row>
    <row r="483" spans="1:10" s="144" customFormat="1" ht="12.75" x14ac:dyDescent="0.25">
      <c r="A483" s="24">
        <v>525500955</v>
      </c>
      <c r="B483" s="22" t="s">
        <v>185</v>
      </c>
      <c r="C483" s="25">
        <v>35</v>
      </c>
      <c r="D483" s="25">
        <v>352</v>
      </c>
      <c r="E483" s="25" t="s">
        <v>126</v>
      </c>
      <c r="F483" s="25" t="s">
        <v>73</v>
      </c>
      <c r="G483" s="10"/>
      <c r="H483" s="10"/>
      <c r="I483" s="26" t="s">
        <v>183</v>
      </c>
      <c r="J483" s="223"/>
    </row>
    <row r="484" spans="1:10" s="144" customFormat="1" ht="12.75" x14ac:dyDescent="0.25">
      <c r="A484" s="21">
        <v>525520935</v>
      </c>
      <c r="B484" s="22" t="s">
        <v>339</v>
      </c>
      <c r="C484" s="10" t="s">
        <v>920</v>
      </c>
      <c r="D484" s="10" t="s">
        <v>920</v>
      </c>
      <c r="E484" s="10" t="s">
        <v>920</v>
      </c>
      <c r="F484" s="25" t="s">
        <v>73</v>
      </c>
      <c r="G484" s="10"/>
      <c r="H484" s="10"/>
      <c r="I484" s="23" t="s">
        <v>184</v>
      </c>
      <c r="J484" s="223"/>
    </row>
    <row r="485" spans="1:10" s="144" customFormat="1" ht="12.75" x14ac:dyDescent="0.25">
      <c r="A485" s="21">
        <v>525600253</v>
      </c>
      <c r="B485" s="46" t="s">
        <v>786</v>
      </c>
      <c r="C485" s="25" t="s">
        <v>787</v>
      </c>
      <c r="D485" s="25" t="s">
        <v>788</v>
      </c>
      <c r="E485" s="25" t="s">
        <v>789</v>
      </c>
      <c r="F485" s="25" t="s">
        <v>73</v>
      </c>
      <c r="G485" s="47"/>
      <c r="H485" s="47"/>
      <c r="I485" s="50" t="s">
        <v>246</v>
      </c>
      <c r="J485" s="223"/>
    </row>
    <row r="486" spans="1:10" s="144" customFormat="1" ht="12.75" x14ac:dyDescent="0.25">
      <c r="A486" s="21">
        <v>525600270</v>
      </c>
      <c r="B486" s="22" t="s">
        <v>965</v>
      </c>
      <c r="C486" s="10">
        <v>51</v>
      </c>
      <c r="D486" s="10">
        <v>660</v>
      </c>
      <c r="E486" s="10" t="s">
        <v>1102</v>
      </c>
      <c r="F486" s="25" t="s">
        <v>73</v>
      </c>
      <c r="G486" s="10"/>
      <c r="H486" s="10"/>
      <c r="I486" s="23" t="s">
        <v>47</v>
      </c>
      <c r="J486" s="223"/>
    </row>
    <row r="487" spans="1:10" s="144" customFormat="1" ht="12.75" x14ac:dyDescent="0.25">
      <c r="A487" s="24">
        <v>525600302</v>
      </c>
      <c r="B487" s="22" t="s">
        <v>338</v>
      </c>
      <c r="C487" s="25" t="s">
        <v>303</v>
      </c>
      <c r="D487" s="25" t="s">
        <v>304</v>
      </c>
      <c r="E487" s="25" t="s">
        <v>1696</v>
      </c>
      <c r="F487" s="25" t="s">
        <v>73</v>
      </c>
      <c r="G487" s="10"/>
      <c r="H487" s="10"/>
      <c r="I487" s="26" t="s">
        <v>246</v>
      </c>
      <c r="J487" s="223"/>
    </row>
    <row r="488" spans="1:10" s="144" customFormat="1" ht="12.75" x14ac:dyDescent="0.25">
      <c r="A488" s="21">
        <v>525600413</v>
      </c>
      <c r="B488" s="22" t="s">
        <v>1090</v>
      </c>
      <c r="C488" s="10" t="s">
        <v>1089</v>
      </c>
      <c r="D488" s="10">
        <v>249</v>
      </c>
      <c r="E488" s="10" t="s">
        <v>140</v>
      </c>
      <c r="F488" s="25" t="s">
        <v>73</v>
      </c>
      <c r="G488" s="10"/>
      <c r="H488" s="10"/>
      <c r="I488" s="23" t="s">
        <v>184</v>
      </c>
      <c r="J488" s="223"/>
    </row>
    <row r="489" spans="1:10" s="144" customFormat="1" ht="12.75" x14ac:dyDescent="0.25">
      <c r="A489" s="21">
        <v>525600542</v>
      </c>
      <c r="B489" s="22" t="s">
        <v>1231</v>
      </c>
      <c r="C489" s="10">
        <v>30.5</v>
      </c>
      <c r="D489" s="10">
        <v>169</v>
      </c>
      <c r="E489" s="10">
        <v>3.4</v>
      </c>
      <c r="F489" s="10"/>
      <c r="G489" s="10"/>
      <c r="H489" s="10"/>
      <c r="I489" s="23" t="s">
        <v>183</v>
      </c>
      <c r="J489" s="223"/>
    </row>
    <row r="490" spans="1:10" s="144" customFormat="1" ht="12.75" x14ac:dyDescent="0.25">
      <c r="A490" s="21">
        <v>525700046</v>
      </c>
      <c r="B490" s="46" t="s">
        <v>656</v>
      </c>
      <c r="C490" s="10">
        <v>189</v>
      </c>
      <c r="D490" s="10">
        <v>3175</v>
      </c>
      <c r="E490" s="10">
        <v>12.6</v>
      </c>
      <c r="F490" s="25" t="s">
        <v>73</v>
      </c>
      <c r="G490" s="47"/>
      <c r="H490" s="47"/>
      <c r="I490" s="48" t="s">
        <v>273</v>
      </c>
      <c r="J490" s="223"/>
    </row>
    <row r="491" spans="1:10" s="144" customFormat="1" ht="12.75" x14ac:dyDescent="0.25">
      <c r="A491" s="21">
        <v>525700290</v>
      </c>
      <c r="B491" s="22" t="s">
        <v>1189</v>
      </c>
      <c r="C491" s="10" t="s">
        <v>1190</v>
      </c>
      <c r="D491" s="10" t="s">
        <v>1191</v>
      </c>
      <c r="E491" s="10" t="s">
        <v>1192</v>
      </c>
      <c r="F491" s="10"/>
      <c r="G491" s="10"/>
      <c r="H491" s="10"/>
      <c r="I491" s="23" t="s">
        <v>92</v>
      </c>
      <c r="J491" s="223"/>
    </row>
    <row r="492" spans="1:10" s="144" customFormat="1" ht="12.75" x14ac:dyDescent="0.25">
      <c r="A492" s="24">
        <v>525700394</v>
      </c>
      <c r="B492" s="22" t="s">
        <v>3747</v>
      </c>
      <c r="C492" s="25" t="s">
        <v>3748</v>
      </c>
      <c r="D492" s="25" t="s">
        <v>1636</v>
      </c>
      <c r="E492" s="25" t="s">
        <v>3749</v>
      </c>
      <c r="F492" s="25" t="s">
        <v>73</v>
      </c>
      <c r="G492" s="10"/>
      <c r="H492" s="10" t="s">
        <v>309</v>
      </c>
      <c r="I492" s="26" t="s">
        <v>244</v>
      </c>
      <c r="J492" s="223"/>
    </row>
    <row r="493" spans="1:10" s="144" customFormat="1" ht="12.75" x14ac:dyDescent="0.25">
      <c r="A493" s="21">
        <v>525700820</v>
      </c>
      <c r="B493" s="22" t="s">
        <v>1193</v>
      </c>
      <c r="C493" s="10">
        <v>190</v>
      </c>
      <c r="D493" s="10">
        <v>30057</v>
      </c>
      <c r="E493" s="10">
        <v>12.9</v>
      </c>
      <c r="F493" s="10"/>
      <c r="G493" s="10"/>
      <c r="H493" s="7"/>
      <c r="I493" s="23" t="s">
        <v>249</v>
      </c>
      <c r="J493" s="223"/>
    </row>
    <row r="494" spans="1:10" s="144" customFormat="1" ht="12.75" x14ac:dyDescent="0.25">
      <c r="A494" s="21">
        <v>525700837</v>
      </c>
      <c r="B494" s="22" t="s">
        <v>1188</v>
      </c>
      <c r="C494" s="10" t="s">
        <v>920</v>
      </c>
      <c r="D494" s="10" t="s">
        <v>920</v>
      </c>
      <c r="E494" s="10" t="s">
        <v>920</v>
      </c>
      <c r="F494" s="10"/>
      <c r="G494" s="10"/>
      <c r="H494" s="10"/>
      <c r="I494" s="23" t="s">
        <v>1062</v>
      </c>
      <c r="J494" s="223"/>
    </row>
    <row r="495" spans="1:10" s="144" customFormat="1" ht="12.75" x14ac:dyDescent="0.25">
      <c r="A495" s="21">
        <v>525700882</v>
      </c>
      <c r="B495" s="22" t="s">
        <v>3428</v>
      </c>
      <c r="C495" s="10" t="s">
        <v>3429</v>
      </c>
      <c r="D495" s="10" t="s">
        <v>3430</v>
      </c>
      <c r="E495" s="10" t="s">
        <v>3431</v>
      </c>
      <c r="F495" s="25" t="s">
        <v>73</v>
      </c>
      <c r="G495" s="47"/>
      <c r="H495" s="47"/>
      <c r="I495" s="23" t="s">
        <v>92</v>
      </c>
      <c r="J495" s="223"/>
    </row>
    <row r="496" spans="1:10" s="144" customFormat="1" ht="12.75" x14ac:dyDescent="0.25">
      <c r="A496" s="21">
        <v>525700889</v>
      </c>
      <c r="B496" s="22" t="s">
        <v>588</v>
      </c>
      <c r="C496" s="10">
        <v>63</v>
      </c>
      <c r="D496" s="10">
        <v>801</v>
      </c>
      <c r="E496" s="10" t="s">
        <v>126</v>
      </c>
      <c r="F496" s="25" t="s">
        <v>73</v>
      </c>
      <c r="G496" s="38"/>
      <c r="H496" s="38"/>
      <c r="I496" s="23" t="s">
        <v>3038</v>
      </c>
      <c r="J496" s="223"/>
    </row>
    <row r="497" spans="1:10" s="144" customFormat="1" ht="12.75" x14ac:dyDescent="0.25">
      <c r="A497" s="24">
        <v>525707077</v>
      </c>
      <c r="B497" s="22" t="s">
        <v>337</v>
      </c>
      <c r="C497" s="25">
        <v>65</v>
      </c>
      <c r="D497" s="25">
        <v>1035</v>
      </c>
      <c r="E497" s="25">
        <v>3.6</v>
      </c>
      <c r="F497" s="25" t="s">
        <v>73</v>
      </c>
      <c r="G497" s="10"/>
      <c r="H497" s="10" t="s">
        <v>307</v>
      </c>
      <c r="I497" s="26" t="s">
        <v>39</v>
      </c>
      <c r="J497" s="223"/>
    </row>
    <row r="498" spans="1:10" s="144" customFormat="1" ht="12.75" x14ac:dyDescent="0.25">
      <c r="A498" s="21">
        <v>525709283</v>
      </c>
      <c r="B498" s="46" t="s">
        <v>670</v>
      </c>
      <c r="C498" s="10">
        <v>86</v>
      </c>
      <c r="D498" s="10">
        <v>2700</v>
      </c>
      <c r="E498" s="10">
        <v>5.3</v>
      </c>
      <c r="F498" s="25" t="s">
        <v>73</v>
      </c>
      <c r="G498" s="47"/>
      <c r="H498" s="47"/>
      <c r="I498" s="48" t="s">
        <v>39</v>
      </c>
      <c r="J498" s="223"/>
    </row>
    <row r="499" spans="1:10" s="144" customFormat="1" ht="12.75" x14ac:dyDescent="0.25">
      <c r="A499" s="21">
        <v>525800865</v>
      </c>
      <c r="B499" s="22" t="s">
        <v>3203</v>
      </c>
      <c r="C499" s="10" t="s">
        <v>1219</v>
      </c>
      <c r="D499" s="10" t="s">
        <v>3201</v>
      </c>
      <c r="E499" s="10" t="s">
        <v>3245</v>
      </c>
      <c r="F499" s="10"/>
      <c r="G499" s="10"/>
      <c r="H499" s="10"/>
      <c r="I499" s="23" t="s">
        <v>3038</v>
      </c>
      <c r="J499" s="223"/>
    </row>
    <row r="500" spans="1:10" s="144" customFormat="1" ht="12.75" x14ac:dyDescent="0.25">
      <c r="A500" s="21">
        <v>525800883</v>
      </c>
      <c r="B500" s="22" t="s">
        <v>2224</v>
      </c>
      <c r="C500" s="10" t="s">
        <v>251</v>
      </c>
      <c r="D500" s="10" t="s">
        <v>380</v>
      </c>
      <c r="E500" s="10" t="s">
        <v>1942</v>
      </c>
      <c r="F500" s="25" t="s">
        <v>73</v>
      </c>
      <c r="G500" s="10"/>
      <c r="H500" s="10" t="s">
        <v>388</v>
      </c>
      <c r="I500" s="23" t="s">
        <v>46</v>
      </c>
      <c r="J500" s="223"/>
    </row>
    <row r="501" spans="1:10" s="144" customFormat="1" ht="12.75" x14ac:dyDescent="0.25">
      <c r="A501" s="21">
        <v>525800998</v>
      </c>
      <c r="B501" s="22" t="s">
        <v>1041</v>
      </c>
      <c r="C501" s="10" t="s">
        <v>1038</v>
      </c>
      <c r="D501" s="10" t="s">
        <v>1039</v>
      </c>
      <c r="E501" s="10" t="s">
        <v>1040</v>
      </c>
      <c r="F501" s="25" t="s">
        <v>73</v>
      </c>
      <c r="G501" s="10"/>
      <c r="H501" s="10"/>
      <c r="I501" s="23" t="s">
        <v>71</v>
      </c>
      <c r="J501" s="223"/>
    </row>
    <row r="502" spans="1:10" s="144" customFormat="1" ht="12.75" x14ac:dyDescent="0.25">
      <c r="A502" s="21">
        <v>525806127</v>
      </c>
      <c r="B502" s="22" t="s">
        <v>336</v>
      </c>
      <c r="C502" s="10">
        <v>175</v>
      </c>
      <c r="D502" s="10">
        <v>18123</v>
      </c>
      <c r="E502" s="10">
        <v>9</v>
      </c>
      <c r="F502" s="25" t="s">
        <v>73</v>
      </c>
      <c r="G502" s="10"/>
      <c r="H502" s="10"/>
      <c r="I502" s="23" t="s">
        <v>920</v>
      </c>
      <c r="J502" s="223"/>
    </row>
    <row r="503" spans="1:10" s="144" customFormat="1" x14ac:dyDescent="0.25">
      <c r="A503" s="24">
        <v>525881122</v>
      </c>
      <c r="B503" s="41" t="s">
        <v>261</v>
      </c>
      <c r="C503" s="10">
        <v>79</v>
      </c>
      <c r="D503" s="10">
        <v>1538</v>
      </c>
      <c r="E503" s="10">
        <v>5.0999999999999996</v>
      </c>
      <c r="F503" s="25" t="s">
        <v>73</v>
      </c>
      <c r="G503" s="10"/>
      <c r="H503" s="10"/>
      <c r="I503" s="43" t="s">
        <v>39</v>
      </c>
      <c r="J503" s="223"/>
    </row>
    <row r="504" spans="1:10" s="144" customFormat="1" ht="12.75" x14ac:dyDescent="0.25">
      <c r="A504" s="21">
        <v>525900127</v>
      </c>
      <c r="B504" s="46" t="s">
        <v>687</v>
      </c>
      <c r="C504" s="10">
        <v>60</v>
      </c>
      <c r="D504" s="10">
        <v>972</v>
      </c>
      <c r="E504" s="10">
        <v>5.0999999999999996</v>
      </c>
      <c r="F504" s="25" t="s">
        <v>73</v>
      </c>
      <c r="G504" s="47"/>
      <c r="H504" s="47"/>
      <c r="I504" s="48" t="s">
        <v>245</v>
      </c>
      <c r="J504" s="223"/>
    </row>
    <row r="505" spans="1:10" s="144" customFormat="1" ht="12.75" x14ac:dyDescent="0.25">
      <c r="A505" s="21">
        <v>525900431</v>
      </c>
      <c r="B505" s="46" t="s">
        <v>717</v>
      </c>
      <c r="C505" s="10" t="s">
        <v>667</v>
      </c>
      <c r="D505" s="10" t="s">
        <v>718</v>
      </c>
      <c r="E505" s="10" t="s">
        <v>719</v>
      </c>
      <c r="F505" s="25" t="s">
        <v>73</v>
      </c>
      <c r="G505" s="47"/>
      <c r="H505" s="47"/>
      <c r="I505" s="48" t="s">
        <v>41</v>
      </c>
      <c r="J505" s="223"/>
    </row>
    <row r="506" spans="1:10" s="144" customFormat="1" ht="12.75" x14ac:dyDescent="0.25">
      <c r="A506" s="24">
        <v>525900437</v>
      </c>
      <c r="B506" s="22" t="s">
        <v>186</v>
      </c>
      <c r="C506" s="10">
        <v>189</v>
      </c>
      <c r="D506" s="25">
        <v>32987</v>
      </c>
      <c r="E506" s="25" t="s">
        <v>131</v>
      </c>
      <c r="F506" s="25" t="s">
        <v>73</v>
      </c>
      <c r="G506" s="10"/>
      <c r="H506" s="10"/>
      <c r="I506" s="26" t="s">
        <v>187</v>
      </c>
      <c r="J506" s="223"/>
    </row>
    <row r="507" spans="1:10" s="144" customFormat="1" ht="12.75" x14ac:dyDescent="0.25">
      <c r="A507" s="24">
        <v>525900437</v>
      </c>
      <c r="B507" s="22" t="s">
        <v>188</v>
      </c>
      <c r="C507" s="10">
        <v>229</v>
      </c>
      <c r="D507" s="25">
        <v>51255</v>
      </c>
      <c r="E507" s="25" t="s">
        <v>189</v>
      </c>
      <c r="F507" s="25" t="s">
        <v>73</v>
      </c>
      <c r="G507" s="10"/>
      <c r="H507" s="10" t="s">
        <v>412</v>
      </c>
      <c r="I507" s="26" t="s">
        <v>414</v>
      </c>
      <c r="J507" s="223"/>
    </row>
    <row r="508" spans="1:10" s="144" customFormat="1" ht="12.75" x14ac:dyDescent="0.25">
      <c r="A508" s="21">
        <v>525900644</v>
      </c>
      <c r="B508" s="22" t="s">
        <v>1982</v>
      </c>
      <c r="C508" s="10" t="s">
        <v>386</v>
      </c>
      <c r="D508" s="10" t="s">
        <v>387</v>
      </c>
      <c r="E508" s="10" t="s">
        <v>379</v>
      </c>
      <c r="F508" s="25" t="s">
        <v>73</v>
      </c>
      <c r="G508" s="10"/>
      <c r="H508" s="10" t="s">
        <v>58</v>
      </c>
      <c r="I508" s="23" t="s">
        <v>1976</v>
      </c>
      <c r="J508" s="223"/>
    </row>
    <row r="509" spans="1:10" s="144" customFormat="1" ht="12.75" x14ac:dyDescent="0.25">
      <c r="A509" s="21">
        <v>525900861</v>
      </c>
      <c r="B509" s="46" t="s">
        <v>708</v>
      </c>
      <c r="C509" s="10" t="s">
        <v>709</v>
      </c>
      <c r="D509" s="10" t="s">
        <v>710</v>
      </c>
      <c r="E509" s="10" t="s">
        <v>711</v>
      </c>
      <c r="F509" s="25" t="s">
        <v>73</v>
      </c>
      <c r="G509" s="47"/>
      <c r="H509" s="10" t="s">
        <v>1144</v>
      </c>
      <c r="I509" s="48" t="s">
        <v>154</v>
      </c>
      <c r="J509" s="223"/>
    </row>
    <row r="510" spans="1:10" s="144" customFormat="1" ht="12.75" x14ac:dyDescent="0.25">
      <c r="A510" s="21">
        <v>525900985</v>
      </c>
      <c r="B510" s="22" t="s">
        <v>499</v>
      </c>
      <c r="C510" s="10">
        <v>88</v>
      </c>
      <c r="D510" s="10">
        <v>3114</v>
      </c>
      <c r="E510" s="10" t="s">
        <v>109</v>
      </c>
      <c r="F510" s="25" t="s">
        <v>73</v>
      </c>
      <c r="G510" s="10"/>
      <c r="H510" s="10" t="s">
        <v>309</v>
      </c>
      <c r="I510" s="23" t="s">
        <v>1584</v>
      </c>
      <c r="J510" s="223"/>
    </row>
    <row r="511" spans="1:10" s="144" customFormat="1" ht="12.75" x14ac:dyDescent="0.25">
      <c r="A511" s="21">
        <v>533130597</v>
      </c>
      <c r="B511" s="22" t="s">
        <v>360</v>
      </c>
      <c r="C511" s="10">
        <v>107</v>
      </c>
      <c r="D511" s="10">
        <v>4526</v>
      </c>
      <c r="E511" s="10">
        <v>4.8</v>
      </c>
      <c r="F511" s="10" t="s">
        <v>1131</v>
      </c>
      <c r="G511" s="10"/>
      <c r="H511" s="10" t="s">
        <v>359</v>
      </c>
      <c r="I511" s="23" t="s">
        <v>273</v>
      </c>
      <c r="J511" s="223"/>
    </row>
    <row r="512" spans="1:10" s="144" customFormat="1" ht="12.75" x14ac:dyDescent="0.25">
      <c r="A512" s="21">
        <v>533130955</v>
      </c>
      <c r="B512" s="46" t="s">
        <v>740</v>
      </c>
      <c r="C512" s="10">
        <v>78</v>
      </c>
      <c r="D512" s="10">
        <v>1642</v>
      </c>
      <c r="E512" s="10" t="s">
        <v>140</v>
      </c>
      <c r="F512" s="10" t="s">
        <v>1131</v>
      </c>
      <c r="G512" s="47"/>
      <c r="H512" s="10" t="s">
        <v>308</v>
      </c>
      <c r="I512" s="48" t="s">
        <v>145</v>
      </c>
      <c r="J512" s="223"/>
    </row>
    <row r="513" spans="1:10" s="144" customFormat="1" ht="12.75" x14ac:dyDescent="0.25">
      <c r="A513" s="21">
        <v>533132188</v>
      </c>
      <c r="B513" s="46" t="s">
        <v>841</v>
      </c>
      <c r="C513" s="25">
        <v>120</v>
      </c>
      <c r="D513" s="25">
        <v>7147</v>
      </c>
      <c r="E513" s="25" t="s">
        <v>795</v>
      </c>
      <c r="F513" s="10" t="s">
        <v>1131</v>
      </c>
      <c r="G513" s="47"/>
      <c r="H513" s="10" t="s">
        <v>368</v>
      </c>
      <c r="I513" s="50" t="s">
        <v>150</v>
      </c>
      <c r="J513" s="223"/>
    </row>
    <row r="514" spans="1:10" s="144" customFormat="1" ht="12.75" x14ac:dyDescent="0.25">
      <c r="A514" s="21">
        <v>538003279</v>
      </c>
      <c r="B514" s="22" t="s">
        <v>899</v>
      </c>
      <c r="C514" s="10">
        <v>144</v>
      </c>
      <c r="D514" s="10">
        <v>11472</v>
      </c>
      <c r="E514" s="10">
        <v>6.6</v>
      </c>
      <c r="F514" s="10" t="s">
        <v>1132</v>
      </c>
      <c r="G514" s="10"/>
      <c r="H514" s="10"/>
      <c r="I514" s="23" t="s">
        <v>150</v>
      </c>
      <c r="J514" s="223"/>
    </row>
    <row r="515" spans="1:10" s="144" customFormat="1" ht="12.75" x14ac:dyDescent="0.25">
      <c r="A515" s="21">
        <v>538004188</v>
      </c>
      <c r="B515" s="22" t="s">
        <v>406</v>
      </c>
      <c r="C515" s="10">
        <v>170</v>
      </c>
      <c r="D515" s="10">
        <v>17862</v>
      </c>
      <c r="E515" s="10" t="s">
        <v>178</v>
      </c>
      <c r="F515" s="10" t="s">
        <v>1132</v>
      </c>
      <c r="G515" s="10"/>
      <c r="H515" s="10"/>
      <c r="I515" s="23" t="s">
        <v>920</v>
      </c>
      <c r="J515" s="223"/>
    </row>
    <row r="516" spans="1:10" s="144" customFormat="1" ht="12.75" x14ac:dyDescent="0.25">
      <c r="A516" s="21">
        <v>538005430</v>
      </c>
      <c r="B516" s="22" t="s">
        <v>333</v>
      </c>
      <c r="C516" s="10">
        <v>180</v>
      </c>
      <c r="D516" s="10">
        <v>23281</v>
      </c>
      <c r="E516" s="10" t="s">
        <v>190</v>
      </c>
      <c r="F516" s="10" t="s">
        <v>1132</v>
      </c>
      <c r="G516" s="10"/>
      <c r="H516" s="10" t="s">
        <v>368</v>
      </c>
      <c r="I516" s="23" t="s">
        <v>150</v>
      </c>
      <c r="J516" s="223"/>
    </row>
    <row r="517" spans="1:10" s="144" customFormat="1" ht="12.75" x14ac:dyDescent="0.25">
      <c r="A517" s="21">
        <v>538005483</v>
      </c>
      <c r="B517" s="22" t="s">
        <v>483</v>
      </c>
      <c r="C517" s="10">
        <v>229</v>
      </c>
      <c r="D517" s="10">
        <v>44243</v>
      </c>
      <c r="E517" s="10">
        <v>7.6</v>
      </c>
      <c r="F517" s="10" t="s">
        <v>1132</v>
      </c>
      <c r="G517" s="38"/>
      <c r="H517" s="10" t="s">
        <v>445</v>
      </c>
      <c r="I517" s="23" t="s">
        <v>47</v>
      </c>
      <c r="J517" s="223"/>
    </row>
    <row r="518" spans="1:10" s="144" customFormat="1" ht="12.75" x14ac:dyDescent="0.2">
      <c r="A518" s="61">
        <v>538005902</v>
      </c>
      <c r="B518" s="22" t="s">
        <v>1214</v>
      </c>
      <c r="C518" s="10">
        <v>183</v>
      </c>
      <c r="D518" s="10">
        <v>29767</v>
      </c>
      <c r="E518" s="10" t="s">
        <v>177</v>
      </c>
      <c r="F518" s="10"/>
      <c r="G518" s="10"/>
      <c r="H518" s="10"/>
      <c r="I518" s="23" t="s">
        <v>160</v>
      </c>
      <c r="J518" s="223"/>
    </row>
    <row r="519" spans="1:10" s="144" customFormat="1" ht="12.75" x14ac:dyDescent="0.25">
      <c r="A519" s="21">
        <v>538005964</v>
      </c>
      <c r="B519" s="22" t="s">
        <v>334</v>
      </c>
      <c r="C519" s="10" t="s">
        <v>191</v>
      </c>
      <c r="D519" s="10">
        <v>36332</v>
      </c>
      <c r="E519" s="10">
        <v>12</v>
      </c>
      <c r="F519" s="10" t="s">
        <v>1132</v>
      </c>
      <c r="G519" s="10"/>
      <c r="H519" s="10" t="s">
        <v>445</v>
      </c>
      <c r="I519" s="23" t="s">
        <v>47</v>
      </c>
      <c r="J519" s="223"/>
    </row>
    <row r="520" spans="1:10" s="144" customFormat="1" ht="12.75" x14ac:dyDescent="0.25">
      <c r="A520" s="21">
        <v>538006042</v>
      </c>
      <c r="B520" s="22" t="s">
        <v>335</v>
      </c>
      <c r="C520" s="10">
        <v>199</v>
      </c>
      <c r="D520" s="10">
        <v>36535</v>
      </c>
      <c r="E520" s="10">
        <v>9.9</v>
      </c>
      <c r="F520" s="10" t="s">
        <v>1132</v>
      </c>
      <c r="G520" s="10"/>
      <c r="H520" s="10" t="s">
        <v>445</v>
      </c>
      <c r="I520" s="23" t="s">
        <v>47</v>
      </c>
      <c r="J520" s="223"/>
    </row>
    <row r="521" spans="1:10" s="144" customFormat="1" ht="12.75" x14ac:dyDescent="0.25">
      <c r="A521" s="21">
        <v>538006103</v>
      </c>
      <c r="B521" s="22" t="s">
        <v>192</v>
      </c>
      <c r="C521" s="10">
        <v>180</v>
      </c>
      <c r="D521" s="35">
        <v>24605</v>
      </c>
      <c r="E521" s="25">
        <v>4.8</v>
      </c>
      <c r="F521" s="10" t="s">
        <v>1132</v>
      </c>
      <c r="G521" s="10"/>
      <c r="H521" s="10" t="s">
        <v>367</v>
      </c>
      <c r="I521" s="23" t="s">
        <v>45</v>
      </c>
      <c r="J521" s="223"/>
    </row>
    <row r="522" spans="1:10" s="144" customFormat="1" ht="12.75" x14ac:dyDescent="0.25">
      <c r="A522" s="21">
        <v>538006281</v>
      </c>
      <c r="B522" s="22" t="s">
        <v>1187</v>
      </c>
      <c r="C522" s="10">
        <v>229</v>
      </c>
      <c r="D522" s="10">
        <v>44127</v>
      </c>
      <c r="E522" s="10">
        <v>8.6</v>
      </c>
      <c r="F522" s="10"/>
      <c r="G522" s="10"/>
      <c r="H522" s="10"/>
      <c r="I522" s="23" t="s">
        <v>414</v>
      </c>
      <c r="J522" s="223"/>
    </row>
    <row r="523" spans="1:10" s="144" customFormat="1" ht="12.75" x14ac:dyDescent="0.25">
      <c r="A523" s="21">
        <v>538006490</v>
      </c>
      <c r="B523" s="22" t="s">
        <v>193</v>
      </c>
      <c r="C523" s="10">
        <v>183</v>
      </c>
      <c r="D523" s="10">
        <v>29327</v>
      </c>
      <c r="E523" s="10">
        <v>10</v>
      </c>
      <c r="F523" s="10" t="s">
        <v>1132</v>
      </c>
      <c r="G523" s="10"/>
      <c r="H523" s="10" t="s">
        <v>306</v>
      </c>
      <c r="I523" s="23" t="s">
        <v>160</v>
      </c>
      <c r="J523" s="223"/>
    </row>
    <row r="524" spans="1:10" s="144" customFormat="1" ht="12.75" x14ac:dyDescent="0.25">
      <c r="A524" s="21">
        <v>538006719</v>
      </c>
      <c r="B524" s="46" t="s">
        <v>783</v>
      </c>
      <c r="C524" s="25">
        <v>183</v>
      </c>
      <c r="D524" s="96">
        <v>29767</v>
      </c>
      <c r="E524" s="25" t="s">
        <v>135</v>
      </c>
      <c r="F524" s="10" t="s">
        <v>1132</v>
      </c>
      <c r="G524" s="47"/>
      <c r="H524" s="10" t="s">
        <v>306</v>
      </c>
      <c r="I524" s="50" t="s">
        <v>160</v>
      </c>
      <c r="J524" s="223"/>
    </row>
    <row r="525" spans="1:10" s="144" customFormat="1" ht="12.75" x14ac:dyDescent="0.2">
      <c r="A525" s="61">
        <v>538006951</v>
      </c>
      <c r="B525" s="22" t="s">
        <v>870</v>
      </c>
      <c r="C525" s="25">
        <v>190</v>
      </c>
      <c r="D525" s="25">
        <v>31094</v>
      </c>
      <c r="E525" s="25">
        <v>7</v>
      </c>
      <c r="F525" s="10" t="s">
        <v>1132</v>
      </c>
      <c r="G525" s="10"/>
      <c r="H525" s="10" t="s">
        <v>412</v>
      </c>
      <c r="I525" s="44" t="s">
        <v>414</v>
      </c>
      <c r="J525" s="223"/>
    </row>
    <row r="526" spans="1:10" s="144" customFormat="1" ht="12.75" x14ac:dyDescent="0.25">
      <c r="A526" s="21">
        <v>538007096</v>
      </c>
      <c r="B526" s="22" t="s">
        <v>442</v>
      </c>
      <c r="C526" s="10">
        <v>175.5</v>
      </c>
      <c r="D526" s="10">
        <v>19828</v>
      </c>
      <c r="E526" s="10">
        <v>6.21</v>
      </c>
      <c r="F526" s="10" t="s">
        <v>1132</v>
      </c>
      <c r="G526" s="10"/>
      <c r="H526" s="10" t="s">
        <v>367</v>
      </c>
      <c r="I526" s="23" t="s">
        <v>45</v>
      </c>
      <c r="J526" s="223"/>
    </row>
    <row r="527" spans="1:10" s="144" customFormat="1" ht="12.75" x14ac:dyDescent="0.25">
      <c r="A527" s="21">
        <v>538007605</v>
      </c>
      <c r="B527" s="22" t="s">
        <v>332</v>
      </c>
      <c r="C527" s="10">
        <v>148</v>
      </c>
      <c r="D527" s="10">
        <v>12105</v>
      </c>
      <c r="E527" s="10">
        <v>6.8</v>
      </c>
      <c r="F527" s="10" t="s">
        <v>1132</v>
      </c>
      <c r="G527" s="10"/>
      <c r="H527" s="10"/>
      <c r="I527" s="23" t="s">
        <v>920</v>
      </c>
      <c r="J527" s="223"/>
    </row>
    <row r="528" spans="1:10" s="144" customFormat="1" ht="12.75" x14ac:dyDescent="0.25">
      <c r="A528" s="21">
        <v>538007755</v>
      </c>
      <c r="B528" s="22" t="s">
        <v>590</v>
      </c>
      <c r="C528" s="10">
        <v>199</v>
      </c>
      <c r="D528" s="10">
        <v>36352</v>
      </c>
      <c r="E528" s="10">
        <v>7.7</v>
      </c>
      <c r="F528" s="10" t="s">
        <v>1132</v>
      </c>
      <c r="G528" s="38"/>
      <c r="H528" s="10" t="s">
        <v>1147</v>
      </c>
      <c r="I528" s="23" t="s">
        <v>591</v>
      </c>
      <c r="J528" s="223"/>
    </row>
    <row r="529" spans="1:10" s="144" customFormat="1" ht="12.75" x14ac:dyDescent="0.25">
      <c r="A529" s="17">
        <v>538008097</v>
      </c>
      <c r="B529" s="52" t="s">
        <v>818</v>
      </c>
      <c r="C529" s="25">
        <v>183</v>
      </c>
      <c r="D529" s="25">
        <v>29456</v>
      </c>
      <c r="E529" s="25" t="s">
        <v>819</v>
      </c>
      <c r="F529" s="10" t="s">
        <v>1132</v>
      </c>
      <c r="G529" s="47"/>
      <c r="H529" s="10" t="s">
        <v>445</v>
      </c>
      <c r="I529" s="50" t="s">
        <v>47</v>
      </c>
      <c r="J529" s="223"/>
    </row>
    <row r="530" spans="1:10" s="144" customFormat="1" ht="12.75" x14ac:dyDescent="0.25">
      <c r="A530" s="2">
        <v>538008500</v>
      </c>
      <c r="B530" s="18" t="s">
        <v>950</v>
      </c>
      <c r="C530" s="10">
        <v>183</v>
      </c>
      <c r="D530" s="10">
        <v>30237</v>
      </c>
      <c r="E530" s="10" t="s">
        <v>822</v>
      </c>
      <c r="F530" s="10" t="s">
        <v>1132</v>
      </c>
      <c r="G530" s="10"/>
      <c r="H530" s="10" t="s">
        <v>445</v>
      </c>
      <c r="I530" s="23" t="s">
        <v>47</v>
      </c>
      <c r="J530" s="223"/>
    </row>
    <row r="531" spans="1:10" s="144" customFormat="1" ht="12.75" x14ac:dyDescent="0.25">
      <c r="A531" s="21">
        <v>538008519</v>
      </c>
      <c r="B531" s="22" t="s">
        <v>1140</v>
      </c>
      <c r="C531" s="10">
        <v>199</v>
      </c>
      <c r="D531" s="10">
        <v>35832</v>
      </c>
      <c r="E531" s="10">
        <v>12.4</v>
      </c>
      <c r="F531" s="10" t="s">
        <v>1132</v>
      </c>
      <c r="G531" s="10"/>
      <c r="H531" s="25" t="s">
        <v>1143</v>
      </c>
      <c r="I531" s="23" t="s">
        <v>71</v>
      </c>
      <c r="J531" s="223"/>
    </row>
    <row r="532" spans="1:10" s="144" customFormat="1" ht="12.75" x14ac:dyDescent="0.25">
      <c r="A532" s="21">
        <v>538009746</v>
      </c>
      <c r="B532" s="46" t="s">
        <v>649</v>
      </c>
      <c r="C532" s="10">
        <v>183</v>
      </c>
      <c r="D532" s="10">
        <v>29472</v>
      </c>
      <c r="E532" s="10">
        <v>7.6</v>
      </c>
      <c r="F532" s="10" t="s">
        <v>1132</v>
      </c>
      <c r="G532" s="47"/>
      <c r="H532" s="10" t="s">
        <v>359</v>
      </c>
      <c r="I532" s="48" t="s">
        <v>273</v>
      </c>
      <c r="J532" s="223"/>
    </row>
    <row r="533" spans="1:10" s="144" customFormat="1" ht="12.75" x14ac:dyDescent="0.25">
      <c r="A533" s="21">
        <v>538009979</v>
      </c>
      <c r="B533" s="22" t="s">
        <v>930</v>
      </c>
      <c r="C533" s="10">
        <v>229</v>
      </c>
      <c r="D533" s="10">
        <v>48040</v>
      </c>
      <c r="E533" s="10" t="s">
        <v>89</v>
      </c>
      <c r="F533" s="10" t="s">
        <v>1132</v>
      </c>
      <c r="G533" s="10"/>
      <c r="H533" s="10" t="s">
        <v>1146</v>
      </c>
      <c r="I533" s="23" t="s">
        <v>892</v>
      </c>
      <c r="J533" s="223"/>
    </row>
    <row r="534" spans="1:10" s="144" customFormat="1" ht="12.75" x14ac:dyDescent="0.2">
      <c r="A534" s="67">
        <v>547116900</v>
      </c>
      <c r="B534" s="22" t="s">
        <v>1159</v>
      </c>
      <c r="C534" s="10">
        <v>30.3</v>
      </c>
      <c r="D534" s="10">
        <v>800</v>
      </c>
      <c r="E534" s="10">
        <v>4.2</v>
      </c>
      <c r="F534" s="10"/>
      <c r="G534" s="10"/>
      <c r="H534" s="10"/>
      <c r="I534" s="23" t="s">
        <v>260</v>
      </c>
      <c r="J534" s="223"/>
    </row>
    <row r="535" spans="1:10" s="144" customFormat="1" ht="12.75" x14ac:dyDescent="0.25">
      <c r="A535" s="21">
        <v>548911000</v>
      </c>
      <c r="B535" s="22" t="s">
        <v>1207</v>
      </c>
      <c r="C535" s="10">
        <v>145.5</v>
      </c>
      <c r="D535" s="10">
        <v>11729</v>
      </c>
      <c r="E535" s="10">
        <v>6.1</v>
      </c>
      <c r="F535" s="10"/>
      <c r="G535" s="10"/>
      <c r="H535" s="10"/>
      <c r="I535" s="23" t="s">
        <v>920</v>
      </c>
      <c r="J535" s="223"/>
    </row>
    <row r="536" spans="1:10" s="144" customFormat="1" ht="12.75" x14ac:dyDescent="0.25">
      <c r="A536" s="21">
        <v>548982000</v>
      </c>
      <c r="B536" s="22" t="s">
        <v>1029</v>
      </c>
      <c r="C536" s="10">
        <v>229</v>
      </c>
      <c r="D536" s="10">
        <v>43968</v>
      </c>
      <c r="E536" s="10" t="s">
        <v>1030</v>
      </c>
      <c r="F536" s="10" t="s">
        <v>1133</v>
      </c>
      <c r="G536" s="10"/>
      <c r="H536" s="10"/>
      <c r="I536" s="23" t="s">
        <v>47</v>
      </c>
      <c r="J536" s="223"/>
    </row>
    <row r="537" spans="1:10" s="144" customFormat="1" ht="12.75" x14ac:dyDescent="0.25">
      <c r="A537" s="24">
        <v>552525709</v>
      </c>
      <c r="B537" s="22" t="s">
        <v>194</v>
      </c>
      <c r="C537" s="10">
        <v>91</v>
      </c>
      <c r="D537" s="25">
        <v>2209</v>
      </c>
      <c r="E537" s="10" t="s">
        <v>195</v>
      </c>
      <c r="F537" s="10"/>
      <c r="G537" s="10"/>
      <c r="H537" s="10" t="s">
        <v>309</v>
      </c>
      <c r="I537" s="26" t="s">
        <v>96</v>
      </c>
      <c r="J537" s="223"/>
    </row>
    <row r="538" spans="1:10" s="144" customFormat="1" ht="12.75" x14ac:dyDescent="0.25">
      <c r="A538" s="7">
        <v>563017100</v>
      </c>
      <c r="B538" s="22" t="s">
        <v>1028</v>
      </c>
      <c r="C538" s="10">
        <v>110</v>
      </c>
      <c r="D538" s="10">
        <v>5256</v>
      </c>
      <c r="E538" s="10" t="s">
        <v>794</v>
      </c>
      <c r="F538" s="10" t="s">
        <v>1134</v>
      </c>
      <c r="G538" s="10"/>
      <c r="H538" s="10" t="s">
        <v>445</v>
      </c>
      <c r="I538" s="23" t="s">
        <v>47</v>
      </c>
      <c r="J538" s="223"/>
    </row>
    <row r="539" spans="1:10" s="144" customFormat="1" ht="12.75" x14ac:dyDescent="0.2">
      <c r="A539" s="61">
        <v>563068300</v>
      </c>
      <c r="B539" s="22" t="s">
        <v>1162</v>
      </c>
      <c r="C539" s="10">
        <v>179.9</v>
      </c>
      <c r="D539" s="10">
        <v>23405</v>
      </c>
      <c r="E539" s="10">
        <v>6.9</v>
      </c>
      <c r="F539" s="10"/>
      <c r="G539" s="10"/>
      <c r="H539" s="10"/>
      <c r="I539" s="23" t="s">
        <v>45</v>
      </c>
      <c r="J539" s="223"/>
    </row>
    <row r="540" spans="1:10" s="144" customFormat="1" ht="12.75" x14ac:dyDescent="0.25">
      <c r="A540" s="21">
        <v>563079900</v>
      </c>
      <c r="B540" s="22" t="s">
        <v>196</v>
      </c>
      <c r="C540" s="10">
        <v>119</v>
      </c>
      <c r="D540" s="10">
        <v>6961</v>
      </c>
      <c r="E540" s="10" t="s">
        <v>133</v>
      </c>
      <c r="F540" s="10" t="s">
        <v>1134</v>
      </c>
      <c r="G540" s="10"/>
      <c r="H540" s="10" t="s">
        <v>357</v>
      </c>
      <c r="I540" s="23" t="s">
        <v>40</v>
      </c>
      <c r="J540" s="223"/>
    </row>
    <row r="541" spans="1:10" s="144" customFormat="1" ht="12.75" x14ac:dyDescent="0.25">
      <c r="A541" s="21">
        <v>563092400</v>
      </c>
      <c r="B541" s="22" t="s">
        <v>331</v>
      </c>
      <c r="C541" s="10">
        <v>183</v>
      </c>
      <c r="D541" s="10">
        <v>29992</v>
      </c>
      <c r="E541" s="10">
        <v>8.1</v>
      </c>
      <c r="F541" s="10" t="s">
        <v>1134</v>
      </c>
      <c r="G541" s="10"/>
      <c r="H541" s="10" t="s">
        <v>306</v>
      </c>
      <c r="I541" s="23" t="s">
        <v>160</v>
      </c>
      <c r="J541" s="223"/>
    </row>
    <row r="542" spans="1:10" s="144" customFormat="1" ht="12.75" x14ac:dyDescent="0.25">
      <c r="A542" s="21">
        <v>563133700</v>
      </c>
      <c r="B542" s="22" t="s">
        <v>197</v>
      </c>
      <c r="C542" s="25">
        <v>183</v>
      </c>
      <c r="D542" s="25">
        <v>29530</v>
      </c>
      <c r="E542" s="25" t="s">
        <v>198</v>
      </c>
      <c r="F542" s="10" t="s">
        <v>1134</v>
      </c>
      <c r="G542" s="10"/>
      <c r="H542" s="10" t="s">
        <v>306</v>
      </c>
      <c r="I542" s="26" t="s">
        <v>160</v>
      </c>
      <c r="J542" s="223"/>
    </row>
    <row r="543" spans="1:10" s="144" customFormat="1" ht="12.75" x14ac:dyDescent="0.25">
      <c r="A543" s="21">
        <v>563147100</v>
      </c>
      <c r="B543" s="22" t="s">
        <v>199</v>
      </c>
      <c r="C543" s="10">
        <v>126</v>
      </c>
      <c r="D543" s="10">
        <v>7424</v>
      </c>
      <c r="E543" s="10">
        <v>8</v>
      </c>
      <c r="F543" s="10" t="s">
        <v>1134</v>
      </c>
      <c r="G543" s="10"/>
      <c r="H543" s="25" t="s">
        <v>445</v>
      </c>
      <c r="I543" s="23" t="s">
        <v>47</v>
      </c>
      <c r="J543" s="223"/>
    </row>
    <row r="544" spans="1:10" s="144" customFormat="1" ht="12.75" x14ac:dyDescent="0.25">
      <c r="A544" s="21">
        <v>563156600</v>
      </c>
      <c r="B544" s="22" t="s">
        <v>1052</v>
      </c>
      <c r="C544" s="10">
        <v>186</v>
      </c>
      <c r="D544" s="10">
        <v>31649</v>
      </c>
      <c r="E544" s="10" t="s">
        <v>979</v>
      </c>
      <c r="F544" s="10" t="s">
        <v>1134</v>
      </c>
      <c r="G544" s="10"/>
      <c r="H544" s="10" t="s">
        <v>312</v>
      </c>
      <c r="I544" s="23" t="s">
        <v>268</v>
      </c>
      <c r="J544" s="223"/>
    </row>
    <row r="545" spans="1:10" s="144" customFormat="1" ht="12.75" x14ac:dyDescent="0.25">
      <c r="A545" s="21">
        <v>563161900</v>
      </c>
      <c r="B545" s="46" t="s">
        <v>780</v>
      </c>
      <c r="C545" s="25" t="s">
        <v>781</v>
      </c>
      <c r="D545" s="96">
        <v>18257</v>
      </c>
      <c r="E545" s="25" t="s">
        <v>782</v>
      </c>
      <c r="F545" s="10" t="s">
        <v>1134</v>
      </c>
      <c r="G545" s="47"/>
      <c r="H545" s="10" t="s">
        <v>312</v>
      </c>
      <c r="I545" s="50" t="s">
        <v>268</v>
      </c>
      <c r="J545" s="223"/>
    </row>
    <row r="546" spans="1:10" s="144" customFormat="1" ht="12.75" x14ac:dyDescent="0.25">
      <c r="A546" s="17">
        <v>563165800</v>
      </c>
      <c r="B546" s="22" t="s">
        <v>1512</v>
      </c>
      <c r="C546" s="10">
        <v>190</v>
      </c>
      <c r="D546" s="10">
        <v>31094</v>
      </c>
      <c r="E546" s="10" t="s">
        <v>984</v>
      </c>
      <c r="F546" s="10" t="s">
        <v>1134</v>
      </c>
      <c r="G546" s="10"/>
      <c r="H546" s="10"/>
      <c r="I546" s="23" t="s">
        <v>516</v>
      </c>
      <c r="J546" s="223"/>
    </row>
    <row r="547" spans="1:10" s="144" customFormat="1" ht="12.75" x14ac:dyDescent="0.25">
      <c r="A547" s="2">
        <v>563481000</v>
      </c>
      <c r="B547" s="46" t="s">
        <v>820</v>
      </c>
      <c r="C547" s="25" t="s">
        <v>821</v>
      </c>
      <c r="D547" s="96">
        <v>19758</v>
      </c>
      <c r="E547" s="25" t="s">
        <v>822</v>
      </c>
      <c r="F547" s="10" t="s">
        <v>1134</v>
      </c>
      <c r="G547" s="47"/>
      <c r="H547" s="10" t="s">
        <v>312</v>
      </c>
      <c r="I547" s="26" t="s">
        <v>268</v>
      </c>
      <c r="J547" s="223"/>
    </row>
    <row r="548" spans="1:10" s="144" customFormat="1" ht="12.75" x14ac:dyDescent="0.25">
      <c r="A548" s="7">
        <v>563499000</v>
      </c>
      <c r="B548" s="22" t="s">
        <v>200</v>
      </c>
      <c r="C548" s="10">
        <v>214</v>
      </c>
      <c r="D548" s="10">
        <v>37150</v>
      </c>
      <c r="E548" s="10" t="s">
        <v>201</v>
      </c>
      <c r="F548" s="10" t="s">
        <v>1134</v>
      </c>
      <c r="G548" s="10"/>
      <c r="H548" s="10"/>
      <c r="I548" s="23" t="s">
        <v>57</v>
      </c>
      <c r="J548" s="223"/>
    </row>
    <row r="549" spans="1:10" s="144" customFormat="1" ht="12.75" x14ac:dyDescent="0.25">
      <c r="A549" s="7">
        <v>255915565</v>
      </c>
      <c r="B549" s="22" t="s">
        <v>2441</v>
      </c>
      <c r="C549" s="25">
        <v>135</v>
      </c>
      <c r="D549" s="25">
        <v>10421</v>
      </c>
      <c r="E549" s="25" t="s">
        <v>1874</v>
      </c>
      <c r="F549" s="10" t="s">
        <v>1134</v>
      </c>
      <c r="G549" s="47"/>
      <c r="H549" s="10" t="s">
        <v>1145</v>
      </c>
      <c r="I549" s="50" t="s">
        <v>817</v>
      </c>
      <c r="J549" s="223"/>
    </row>
    <row r="550" spans="1:10" s="144" customFormat="1" ht="12.75" x14ac:dyDescent="0.25">
      <c r="A550" s="20">
        <v>563632000</v>
      </c>
      <c r="B550" s="36" t="s">
        <v>202</v>
      </c>
      <c r="C550" s="25">
        <v>117</v>
      </c>
      <c r="D550" s="27">
        <v>8696</v>
      </c>
      <c r="E550" s="25">
        <v>8.1</v>
      </c>
      <c r="F550" s="10" t="s">
        <v>1134</v>
      </c>
      <c r="G550" s="10"/>
      <c r="H550" s="25" t="s">
        <v>1143</v>
      </c>
      <c r="I550" s="26" t="s">
        <v>71</v>
      </c>
      <c r="J550" s="223"/>
    </row>
    <row r="551" spans="1:10" s="144" customFormat="1" ht="12.75" x14ac:dyDescent="0.2">
      <c r="A551" s="20">
        <v>255915563</v>
      </c>
      <c r="B551" s="56" t="s">
        <v>871</v>
      </c>
      <c r="C551" s="10">
        <v>135</v>
      </c>
      <c r="D551" s="10">
        <v>10421</v>
      </c>
      <c r="E551" s="10">
        <v>4.9000000000000004</v>
      </c>
      <c r="F551" s="10" t="s">
        <v>1134</v>
      </c>
      <c r="G551" s="10"/>
      <c r="H551" s="10" t="s">
        <v>357</v>
      </c>
      <c r="I551" s="23" t="s">
        <v>40</v>
      </c>
      <c r="J551" s="223"/>
    </row>
    <row r="552" spans="1:10" s="144" customFormat="1" ht="12.75" x14ac:dyDescent="0.25">
      <c r="A552" s="7">
        <v>564547000</v>
      </c>
      <c r="B552" s="22" t="s">
        <v>409</v>
      </c>
      <c r="C552" s="10">
        <v>135</v>
      </c>
      <c r="D552" s="10">
        <v>10421</v>
      </c>
      <c r="E552" s="10">
        <v>6.6</v>
      </c>
      <c r="F552" s="10" t="s">
        <v>1134</v>
      </c>
      <c r="G552" s="10"/>
      <c r="H552" s="10" t="s">
        <v>357</v>
      </c>
      <c r="I552" s="23" t="s">
        <v>40</v>
      </c>
      <c r="J552" s="223"/>
    </row>
    <row r="553" spans="1:10" s="144" customFormat="1" ht="12.75" x14ac:dyDescent="0.25">
      <c r="A553" s="7">
        <v>564875000</v>
      </c>
      <c r="B553" s="22" t="s">
        <v>1235</v>
      </c>
      <c r="C553" s="10">
        <v>183</v>
      </c>
      <c r="D553" s="10">
        <v>30091</v>
      </c>
      <c r="E553" s="10">
        <v>8.5</v>
      </c>
      <c r="F553" s="10"/>
      <c r="G553" s="10"/>
      <c r="H553" s="10"/>
      <c r="I553" s="23" t="s">
        <v>160</v>
      </c>
      <c r="J553" s="223"/>
    </row>
    <row r="554" spans="1:10" s="144" customFormat="1" ht="12.75" x14ac:dyDescent="0.25">
      <c r="A554" s="21">
        <v>565289000</v>
      </c>
      <c r="B554" s="22" t="s">
        <v>410</v>
      </c>
      <c r="C554" s="10">
        <v>104</v>
      </c>
      <c r="D554" s="10">
        <v>6200</v>
      </c>
      <c r="E554" s="10">
        <v>8.5</v>
      </c>
      <c r="F554" s="10" t="s">
        <v>1134</v>
      </c>
      <c r="G554" s="10"/>
      <c r="H554" s="25" t="s">
        <v>1143</v>
      </c>
      <c r="I554" s="23" t="s">
        <v>71</v>
      </c>
      <c r="J554" s="223"/>
    </row>
    <row r="555" spans="1:10" s="144" customFormat="1" ht="12.75" x14ac:dyDescent="0.25">
      <c r="A555" s="21">
        <v>565439000</v>
      </c>
      <c r="B555" s="22" t="s">
        <v>1179</v>
      </c>
      <c r="C555" s="10">
        <v>96</v>
      </c>
      <c r="D555" s="10">
        <v>3609</v>
      </c>
      <c r="E555" s="10">
        <v>3.5</v>
      </c>
      <c r="F555" s="10"/>
      <c r="G555" s="10"/>
      <c r="H555" s="10"/>
      <c r="I555" s="23" t="s">
        <v>92</v>
      </c>
      <c r="J555" s="223"/>
    </row>
    <row r="556" spans="1:10" s="144" customFormat="1" ht="12.75" x14ac:dyDescent="0.25">
      <c r="A556" s="21">
        <v>565577000</v>
      </c>
      <c r="B556" s="22" t="s">
        <v>932</v>
      </c>
      <c r="C556" s="10">
        <v>180</v>
      </c>
      <c r="D556" s="10">
        <v>23224</v>
      </c>
      <c r="E556" s="10" t="s">
        <v>933</v>
      </c>
      <c r="F556" s="10" t="s">
        <v>1134</v>
      </c>
      <c r="G556" s="10"/>
      <c r="H556" s="10"/>
      <c r="I556" s="23" t="s">
        <v>71</v>
      </c>
      <c r="J556" s="223"/>
    </row>
    <row r="557" spans="1:10" s="144" customFormat="1" ht="12.75" x14ac:dyDescent="0.25">
      <c r="A557" s="21">
        <v>565805000</v>
      </c>
      <c r="B557" s="22" t="s">
        <v>1222</v>
      </c>
      <c r="C557" s="10" t="s">
        <v>1223</v>
      </c>
      <c r="D557" s="10" t="s">
        <v>1224</v>
      </c>
      <c r="E557" s="10" t="s">
        <v>1225</v>
      </c>
      <c r="F557" s="10"/>
      <c r="G557" s="10"/>
      <c r="H557" s="10"/>
      <c r="I557" s="23" t="s">
        <v>43</v>
      </c>
      <c r="J557" s="223"/>
    </row>
    <row r="558" spans="1:10" s="144" customFormat="1" ht="12.75" x14ac:dyDescent="0.25">
      <c r="A558" s="21">
        <v>566726000</v>
      </c>
      <c r="B558" s="22" t="s">
        <v>203</v>
      </c>
      <c r="C558" s="10">
        <v>136</v>
      </c>
      <c r="D558" s="10">
        <v>8256</v>
      </c>
      <c r="E558" s="10" t="s">
        <v>204</v>
      </c>
      <c r="F558" s="10" t="s">
        <v>1134</v>
      </c>
      <c r="G558" s="10"/>
      <c r="H558" s="10" t="s">
        <v>357</v>
      </c>
      <c r="I558" s="23" t="s">
        <v>40</v>
      </c>
      <c r="J558" s="223"/>
    </row>
    <row r="559" spans="1:10" s="144" customFormat="1" ht="12.75" x14ac:dyDescent="0.25">
      <c r="A559" s="24">
        <v>567558000</v>
      </c>
      <c r="B559" s="22" t="s">
        <v>205</v>
      </c>
      <c r="C559" s="25">
        <v>225</v>
      </c>
      <c r="D559" s="27">
        <v>36540</v>
      </c>
      <c r="E559" s="25">
        <v>11.5</v>
      </c>
      <c r="F559" s="10" t="s">
        <v>1135</v>
      </c>
      <c r="G559" s="10"/>
      <c r="H559" s="10" t="s">
        <v>1144</v>
      </c>
      <c r="I559" s="26" t="s">
        <v>154</v>
      </c>
      <c r="J559" s="223"/>
    </row>
    <row r="560" spans="1:10" s="144" customFormat="1" ht="12.75" x14ac:dyDescent="0.25">
      <c r="A560" s="21">
        <v>574001950</v>
      </c>
      <c r="B560" s="22" t="s">
        <v>522</v>
      </c>
      <c r="C560" s="10">
        <v>134.19999999999999</v>
      </c>
      <c r="D560" s="10">
        <v>8266</v>
      </c>
      <c r="E560" s="10">
        <v>8.4</v>
      </c>
      <c r="F560" s="10" t="s">
        <v>1136</v>
      </c>
      <c r="G560" s="10"/>
      <c r="H560" s="25" t="s">
        <v>1143</v>
      </c>
      <c r="I560" s="23" t="s">
        <v>71</v>
      </c>
      <c r="J560" s="223"/>
    </row>
    <row r="561" spans="1:10" s="144" customFormat="1" ht="12.75" x14ac:dyDescent="0.25">
      <c r="A561" s="21">
        <v>574372000</v>
      </c>
      <c r="B561" s="22" t="s">
        <v>1220</v>
      </c>
      <c r="C561" s="10">
        <v>87</v>
      </c>
      <c r="D561" s="10">
        <v>2771</v>
      </c>
      <c r="E561" s="10" t="s">
        <v>1221</v>
      </c>
      <c r="F561" s="10"/>
      <c r="G561" s="10"/>
      <c r="H561" s="10"/>
      <c r="I561" s="23" t="s">
        <v>516</v>
      </c>
      <c r="J561" s="223"/>
    </row>
    <row r="562" spans="1:10" s="144" customFormat="1" ht="12.75" x14ac:dyDescent="0.25">
      <c r="A562" s="7">
        <v>574396000</v>
      </c>
      <c r="B562" s="37" t="s">
        <v>517</v>
      </c>
      <c r="C562" s="10">
        <v>79</v>
      </c>
      <c r="D562" s="10">
        <v>1599</v>
      </c>
      <c r="E562" s="10">
        <v>6.3</v>
      </c>
      <c r="F562" s="10" t="s">
        <v>1136</v>
      </c>
      <c r="G562" s="38"/>
      <c r="H562" s="10" t="s">
        <v>368</v>
      </c>
      <c r="I562" s="39" t="s">
        <v>150</v>
      </c>
      <c r="J562" s="223"/>
    </row>
    <row r="563" spans="1:10" s="144" customFormat="1" ht="12.75" x14ac:dyDescent="0.25">
      <c r="A563" s="21">
        <v>636012731</v>
      </c>
      <c r="B563" s="22" t="s">
        <v>1196</v>
      </c>
      <c r="C563" s="10">
        <v>183</v>
      </c>
      <c r="D563" s="10">
        <v>30104</v>
      </c>
      <c r="E563" s="10">
        <v>9.4</v>
      </c>
      <c r="F563" s="10"/>
      <c r="G563" s="10"/>
      <c r="H563" s="10"/>
      <c r="I563" s="23" t="s">
        <v>920</v>
      </c>
      <c r="J563" s="223"/>
    </row>
    <row r="564" spans="1:10" s="144" customFormat="1" ht="12.75" x14ac:dyDescent="0.25">
      <c r="A564" s="21">
        <v>636015074</v>
      </c>
      <c r="B564" s="46" t="s">
        <v>641</v>
      </c>
      <c r="C564" s="10">
        <v>146</v>
      </c>
      <c r="D564" s="10">
        <v>11987</v>
      </c>
      <c r="E564" s="10">
        <v>7.4</v>
      </c>
      <c r="F564" s="10" t="s">
        <v>1137</v>
      </c>
      <c r="G564" s="47"/>
      <c r="H564" s="10" t="s">
        <v>359</v>
      </c>
      <c r="I564" s="48" t="s">
        <v>273</v>
      </c>
      <c r="J564" s="223"/>
    </row>
    <row r="565" spans="1:10" s="144" customFormat="1" ht="12.75" x14ac:dyDescent="0.25">
      <c r="A565" s="21">
        <v>636015417</v>
      </c>
      <c r="B565" s="46" t="s">
        <v>689</v>
      </c>
      <c r="C565" s="10">
        <v>289</v>
      </c>
      <c r="D565" s="10">
        <v>88853</v>
      </c>
      <c r="E565" s="10">
        <v>18.12</v>
      </c>
      <c r="F565" s="10" t="s">
        <v>1137</v>
      </c>
      <c r="G565" s="47"/>
      <c r="H565" s="10" t="s">
        <v>359</v>
      </c>
      <c r="I565" s="48" t="s">
        <v>273</v>
      </c>
      <c r="J565" s="223"/>
    </row>
    <row r="566" spans="1:10" s="144" customFormat="1" ht="12.75" x14ac:dyDescent="0.25">
      <c r="A566" s="21">
        <v>636015428</v>
      </c>
      <c r="B566" s="46" t="s">
        <v>682</v>
      </c>
      <c r="C566" s="10">
        <v>229</v>
      </c>
      <c r="D566" s="10">
        <v>43949</v>
      </c>
      <c r="E566" s="10">
        <v>7.5</v>
      </c>
      <c r="F566" s="10" t="s">
        <v>1137</v>
      </c>
      <c r="G566" s="47"/>
      <c r="H566" s="10" t="s">
        <v>359</v>
      </c>
      <c r="I566" s="48" t="s">
        <v>273</v>
      </c>
      <c r="J566" s="223"/>
    </row>
    <row r="567" spans="1:10" s="144" customFormat="1" ht="12.75" x14ac:dyDescent="0.25">
      <c r="A567" s="21">
        <v>636017202</v>
      </c>
      <c r="B567" s="22" t="s">
        <v>1201</v>
      </c>
      <c r="C567" s="10">
        <v>199</v>
      </c>
      <c r="D567" s="10">
        <v>35851</v>
      </c>
      <c r="E567" s="10">
        <v>7.7</v>
      </c>
      <c r="F567" s="10"/>
      <c r="G567" s="10"/>
      <c r="H567" s="10"/>
      <c r="I567" s="23" t="s">
        <v>47</v>
      </c>
      <c r="J567" s="223"/>
    </row>
    <row r="568" spans="1:10" s="144" customFormat="1" ht="12.75" x14ac:dyDescent="0.25">
      <c r="A568" s="21">
        <v>636018391</v>
      </c>
      <c r="B568" s="22" t="s">
        <v>206</v>
      </c>
      <c r="C568" s="10">
        <v>190</v>
      </c>
      <c r="D568" s="35">
        <v>31236</v>
      </c>
      <c r="E568" s="10">
        <v>7.8</v>
      </c>
      <c r="F568" s="10" t="s">
        <v>1137</v>
      </c>
      <c r="G568" s="10"/>
      <c r="H568" s="10" t="s">
        <v>368</v>
      </c>
      <c r="I568" s="23" t="s">
        <v>150</v>
      </c>
      <c r="J568" s="223"/>
    </row>
    <row r="569" spans="1:10" s="144" customFormat="1" ht="12.75" x14ac:dyDescent="0.25">
      <c r="A569" s="21">
        <v>636018574</v>
      </c>
      <c r="B569" s="22" t="s">
        <v>890</v>
      </c>
      <c r="C569" s="10">
        <v>229</v>
      </c>
      <c r="D569" s="10">
        <v>43015</v>
      </c>
      <c r="E569" s="10" t="s">
        <v>891</v>
      </c>
      <c r="F569" s="10" t="s">
        <v>1137</v>
      </c>
      <c r="G569" s="10"/>
      <c r="H569" s="10"/>
      <c r="I569" s="23" t="s">
        <v>892</v>
      </c>
      <c r="J569" s="223"/>
    </row>
    <row r="570" spans="1:10" s="144" customFormat="1" ht="12.75" x14ac:dyDescent="0.25">
      <c r="A570" s="10">
        <v>636018582</v>
      </c>
      <c r="B570" s="22" t="s">
        <v>207</v>
      </c>
      <c r="C570" s="25">
        <v>290</v>
      </c>
      <c r="D570" s="25">
        <v>93030</v>
      </c>
      <c r="E570" s="25">
        <v>9.1</v>
      </c>
      <c r="F570" s="10" t="s">
        <v>1137</v>
      </c>
      <c r="G570" s="25"/>
      <c r="H570" s="25" t="s">
        <v>171</v>
      </c>
      <c r="I570" s="26" t="s">
        <v>172</v>
      </c>
      <c r="J570" s="223"/>
    </row>
    <row r="571" spans="1:10" s="144" customFormat="1" ht="12.75" x14ac:dyDescent="0.25">
      <c r="A571" s="21">
        <v>636018603</v>
      </c>
      <c r="B571" s="22" t="s">
        <v>208</v>
      </c>
      <c r="C571" s="10">
        <v>211</v>
      </c>
      <c r="D571" s="10">
        <v>32200</v>
      </c>
      <c r="E571" s="10" t="s">
        <v>209</v>
      </c>
      <c r="F571" s="10" t="s">
        <v>1137</v>
      </c>
      <c r="G571" s="10"/>
      <c r="H571" s="10"/>
      <c r="I571" s="23" t="s">
        <v>1051</v>
      </c>
      <c r="J571" s="223"/>
    </row>
    <row r="572" spans="1:10" s="144" customFormat="1" ht="12.75" x14ac:dyDescent="0.25">
      <c r="A572" s="21">
        <v>636018729</v>
      </c>
      <c r="B572" s="22" t="s">
        <v>1021</v>
      </c>
      <c r="C572" s="10">
        <v>215</v>
      </c>
      <c r="D572" s="10">
        <v>28050</v>
      </c>
      <c r="E572" s="10" t="s">
        <v>1022</v>
      </c>
      <c r="F572" s="10" t="s">
        <v>1137</v>
      </c>
      <c r="G572" s="10"/>
      <c r="H572" s="10" t="s">
        <v>1142</v>
      </c>
      <c r="I572" s="23" t="s">
        <v>896</v>
      </c>
      <c r="J572" s="223"/>
    </row>
    <row r="573" spans="1:10" s="144" customFormat="1" ht="12.75" x14ac:dyDescent="0.25">
      <c r="A573" s="21">
        <v>636019579</v>
      </c>
      <c r="B573" s="46" t="s">
        <v>601</v>
      </c>
      <c r="C573" s="10">
        <v>225</v>
      </c>
      <c r="D573" s="10">
        <v>93035</v>
      </c>
      <c r="E573" s="10">
        <v>7</v>
      </c>
      <c r="F573" s="10" t="s">
        <v>1137</v>
      </c>
      <c r="G573" s="47"/>
      <c r="H573" s="10" t="s">
        <v>359</v>
      </c>
      <c r="I573" s="48" t="s">
        <v>273</v>
      </c>
      <c r="J573" s="223"/>
    </row>
    <row r="574" spans="1:10" s="144" customFormat="1" ht="12.75" x14ac:dyDescent="0.25">
      <c r="A574" s="10">
        <v>636019698</v>
      </c>
      <c r="B574" s="22" t="s">
        <v>1050</v>
      </c>
      <c r="C574" s="10">
        <v>175</v>
      </c>
      <c r="D574" s="10">
        <v>18327</v>
      </c>
      <c r="E574" s="10">
        <v>8.6</v>
      </c>
      <c r="F574" s="10" t="s">
        <v>1137</v>
      </c>
      <c r="G574" s="47"/>
      <c r="H574" s="10" t="s">
        <v>312</v>
      </c>
      <c r="I574" s="23" t="s">
        <v>268</v>
      </c>
      <c r="J574" s="223"/>
    </row>
    <row r="575" spans="1:10" s="144" customFormat="1" ht="12.75" x14ac:dyDescent="0.25">
      <c r="A575" s="10">
        <v>636019915</v>
      </c>
      <c r="B575" s="22" t="s">
        <v>510</v>
      </c>
      <c r="C575" s="10">
        <v>229</v>
      </c>
      <c r="D575" s="10">
        <v>44314</v>
      </c>
      <c r="E575" s="10">
        <v>14.6</v>
      </c>
      <c r="F575" s="10" t="s">
        <v>1137</v>
      </c>
      <c r="G575" s="10"/>
      <c r="H575" s="10" t="s">
        <v>402</v>
      </c>
      <c r="I575" s="23" t="s">
        <v>245</v>
      </c>
      <c r="J575" s="223"/>
    </row>
    <row r="576" spans="1:10" s="144" customFormat="1" ht="12.75" x14ac:dyDescent="0.25">
      <c r="A576" s="10">
        <v>636020435</v>
      </c>
      <c r="B576" s="22" t="s">
        <v>423</v>
      </c>
      <c r="C576" s="10">
        <v>169.3</v>
      </c>
      <c r="D576" s="10">
        <v>17019</v>
      </c>
      <c r="E576" s="10">
        <v>10.199999999999999</v>
      </c>
      <c r="F576" s="10" t="s">
        <v>1137</v>
      </c>
      <c r="G576" s="10"/>
      <c r="H576" s="10" t="s">
        <v>391</v>
      </c>
      <c r="I576" s="23" t="s">
        <v>249</v>
      </c>
      <c r="J576" s="223"/>
    </row>
    <row r="577" spans="1:10" s="144" customFormat="1" ht="12.75" x14ac:dyDescent="0.25">
      <c r="A577" s="21">
        <v>636020500</v>
      </c>
      <c r="B577" s="22" t="s">
        <v>291</v>
      </c>
      <c r="C577" s="10">
        <v>208</v>
      </c>
      <c r="D577" s="10">
        <v>26249</v>
      </c>
      <c r="E577" s="10">
        <v>9.8000000000000007</v>
      </c>
      <c r="F577" s="10" t="s">
        <v>1137</v>
      </c>
      <c r="G577" s="10"/>
      <c r="H577" s="10" t="s">
        <v>1142</v>
      </c>
      <c r="I577" s="23" t="s">
        <v>356</v>
      </c>
      <c r="J577" s="223"/>
    </row>
    <row r="578" spans="1:10" s="144" customFormat="1" ht="12.75" x14ac:dyDescent="0.25">
      <c r="A578" s="7">
        <v>636020962</v>
      </c>
      <c r="B578" s="22" t="s">
        <v>886</v>
      </c>
      <c r="C578" s="10" t="s">
        <v>887</v>
      </c>
      <c r="D578" s="10">
        <v>25703</v>
      </c>
      <c r="E578" s="10" t="s">
        <v>889</v>
      </c>
      <c r="F578" s="10" t="s">
        <v>1137</v>
      </c>
      <c r="G578" s="10"/>
      <c r="H578" s="10" t="s">
        <v>1142</v>
      </c>
      <c r="I578" s="23" t="s">
        <v>356</v>
      </c>
      <c r="J578" s="223"/>
    </row>
    <row r="579" spans="1:10" s="144" customFormat="1" ht="12.75" x14ac:dyDescent="0.25">
      <c r="A579" s="21">
        <v>636021011</v>
      </c>
      <c r="B579" s="22" t="s">
        <v>948</v>
      </c>
      <c r="C579" s="10">
        <v>210</v>
      </c>
      <c r="D579" s="10">
        <v>27051</v>
      </c>
      <c r="E579" s="10">
        <v>10</v>
      </c>
      <c r="F579" s="10" t="s">
        <v>1137</v>
      </c>
      <c r="G579" s="10"/>
      <c r="H579" s="10" t="s">
        <v>312</v>
      </c>
      <c r="I579" s="23" t="s">
        <v>268</v>
      </c>
      <c r="J579" s="223"/>
    </row>
    <row r="580" spans="1:10" s="144" customFormat="1" ht="12.75" x14ac:dyDescent="0.25">
      <c r="A580" s="7">
        <v>636021150</v>
      </c>
      <c r="B580" s="22" t="s">
        <v>422</v>
      </c>
      <c r="C580" s="10">
        <v>222.13</v>
      </c>
      <c r="D580" s="10">
        <v>28596</v>
      </c>
      <c r="E580" s="10">
        <v>12</v>
      </c>
      <c r="F580" s="10" t="s">
        <v>1137</v>
      </c>
      <c r="G580" s="10"/>
      <c r="H580" s="10" t="s">
        <v>1142</v>
      </c>
      <c r="I580" s="23" t="s">
        <v>356</v>
      </c>
      <c r="J580" s="223"/>
    </row>
    <row r="581" spans="1:10" s="144" customFormat="1" ht="12.75" x14ac:dyDescent="0.25">
      <c r="A581" s="21">
        <v>636021288</v>
      </c>
      <c r="B581" s="22" t="s">
        <v>498</v>
      </c>
      <c r="C581" s="10">
        <v>228.9</v>
      </c>
      <c r="D581" s="10">
        <v>48686</v>
      </c>
      <c r="E581" s="10">
        <v>9.1999999999999993</v>
      </c>
      <c r="F581" s="10" t="s">
        <v>1137</v>
      </c>
      <c r="G581" s="10"/>
      <c r="H581" s="10" t="s">
        <v>388</v>
      </c>
      <c r="I581" s="23" t="s">
        <v>46</v>
      </c>
      <c r="J581" s="223"/>
    </row>
    <row r="582" spans="1:10" s="144" customFormat="1" ht="12.75" x14ac:dyDescent="0.25">
      <c r="A582" s="21">
        <v>636021400</v>
      </c>
      <c r="B582" s="22" t="s">
        <v>1172</v>
      </c>
      <c r="C582" s="10">
        <v>222</v>
      </c>
      <c r="D582" s="10">
        <v>28616</v>
      </c>
      <c r="E582" s="10">
        <v>10</v>
      </c>
      <c r="F582" s="10"/>
      <c r="G582" s="10"/>
      <c r="H582" s="10"/>
      <c r="I582" s="23" t="s">
        <v>84</v>
      </c>
      <c r="J582" s="223"/>
    </row>
    <row r="583" spans="1:10" s="144" customFormat="1" ht="12.75" x14ac:dyDescent="0.25">
      <c r="A583" s="21">
        <v>636021550</v>
      </c>
      <c r="B583" s="22" t="s">
        <v>584</v>
      </c>
      <c r="C583" s="10">
        <v>176.8</v>
      </c>
      <c r="D583" s="10">
        <v>21168</v>
      </c>
      <c r="E583" s="10">
        <v>6.5</v>
      </c>
      <c r="F583" s="10" t="s">
        <v>1137</v>
      </c>
      <c r="G583" s="38"/>
      <c r="H583" s="25" t="s">
        <v>1143</v>
      </c>
      <c r="I583" s="23" t="s">
        <v>71</v>
      </c>
      <c r="J583" s="223"/>
    </row>
    <row r="584" spans="1:10" s="144" customFormat="1" ht="12.75" x14ac:dyDescent="0.25">
      <c r="A584" s="21">
        <v>636021626</v>
      </c>
      <c r="B584" s="37" t="s">
        <v>536</v>
      </c>
      <c r="C584" s="10">
        <v>228.9</v>
      </c>
      <c r="D584" s="10">
        <v>44140</v>
      </c>
      <c r="E584" s="10">
        <v>8.17</v>
      </c>
      <c r="F584" s="10" t="s">
        <v>1137</v>
      </c>
      <c r="G584" s="38"/>
      <c r="H584" s="25" t="s">
        <v>1143</v>
      </c>
      <c r="I584" s="23" t="s">
        <v>71</v>
      </c>
      <c r="J584" s="223"/>
    </row>
    <row r="585" spans="1:10" s="144" customFormat="1" ht="12.75" x14ac:dyDescent="0.25">
      <c r="A585" s="21">
        <v>636022150</v>
      </c>
      <c r="B585" s="22" t="s">
        <v>914</v>
      </c>
      <c r="C585" s="10">
        <v>170</v>
      </c>
      <c r="D585" s="10">
        <v>17450</v>
      </c>
      <c r="E585" s="10" t="s">
        <v>135</v>
      </c>
      <c r="F585" s="10" t="s">
        <v>1137</v>
      </c>
      <c r="G585" s="10"/>
      <c r="H585" s="10" t="s">
        <v>359</v>
      </c>
      <c r="I585" s="23" t="s">
        <v>273</v>
      </c>
      <c r="J585" s="223"/>
    </row>
    <row r="586" spans="1:10" s="144" customFormat="1" ht="12.75" x14ac:dyDescent="0.25">
      <c r="A586" s="21">
        <v>636092997</v>
      </c>
      <c r="B586" s="22" t="s">
        <v>419</v>
      </c>
      <c r="C586" s="10">
        <v>174</v>
      </c>
      <c r="D586" s="10">
        <v>18321</v>
      </c>
      <c r="E586" s="10">
        <v>9.8000000000000007</v>
      </c>
      <c r="F586" s="10" t="s">
        <v>1137</v>
      </c>
      <c r="G586" s="10"/>
      <c r="H586" s="10" t="s">
        <v>312</v>
      </c>
      <c r="I586" s="23" t="s">
        <v>268</v>
      </c>
      <c r="J586" s="223"/>
    </row>
    <row r="587" spans="1:10" s="144" customFormat="1" ht="12.75" x14ac:dyDescent="0.25">
      <c r="A587" s="21">
        <v>680590110</v>
      </c>
      <c r="B587" s="22" t="s">
        <v>1138</v>
      </c>
      <c r="C587" s="10" t="s">
        <v>470</v>
      </c>
      <c r="D587" s="10" t="s">
        <v>471</v>
      </c>
      <c r="E587" s="10" t="s">
        <v>472</v>
      </c>
      <c r="F587" s="38"/>
      <c r="G587" s="38"/>
      <c r="H587" s="38" t="s">
        <v>388</v>
      </c>
      <c r="I587" s="39" t="s">
        <v>46</v>
      </c>
      <c r="J587" s="223"/>
    </row>
    <row r="588" spans="1:10" s="144" customFormat="1" ht="12.75" x14ac:dyDescent="0.25">
      <c r="A588" s="21">
        <v>799999999</v>
      </c>
      <c r="B588" s="46" t="s">
        <v>645</v>
      </c>
      <c r="C588" s="10" t="s">
        <v>646</v>
      </c>
      <c r="D588" s="10" t="s">
        <v>647</v>
      </c>
      <c r="E588" s="10" t="s">
        <v>648</v>
      </c>
      <c r="F588" s="47"/>
      <c r="G588" s="47"/>
      <c r="H588" s="47"/>
      <c r="I588" s="23" t="s">
        <v>920</v>
      </c>
      <c r="J588" s="223"/>
    </row>
    <row r="589" spans="1:10" s="144" customFormat="1" ht="12.75" x14ac:dyDescent="0.25">
      <c r="A589" s="21"/>
      <c r="B589" s="22" t="s">
        <v>602</v>
      </c>
      <c r="C589" s="10" t="s">
        <v>603</v>
      </c>
      <c r="D589" s="10" t="s">
        <v>604</v>
      </c>
      <c r="E589" s="10" t="s">
        <v>605</v>
      </c>
      <c r="F589" s="10" t="s">
        <v>73</v>
      </c>
      <c r="G589" s="47"/>
      <c r="H589" s="10" t="s">
        <v>451</v>
      </c>
      <c r="I589" s="48" t="s">
        <v>41</v>
      </c>
      <c r="J589" s="223"/>
    </row>
    <row r="590" spans="1:10" s="144" customFormat="1" ht="12.75" x14ac:dyDescent="0.25">
      <c r="A590" s="7">
        <v>525012383</v>
      </c>
      <c r="B590" s="22" t="s">
        <v>1249</v>
      </c>
      <c r="C590" s="10" t="s">
        <v>1247</v>
      </c>
      <c r="D590" s="10" t="s">
        <v>1248</v>
      </c>
      <c r="E590" s="10" t="s">
        <v>3396</v>
      </c>
      <c r="F590" s="10"/>
      <c r="G590" s="10"/>
      <c r="H590" s="10"/>
      <c r="I590" s="23" t="s">
        <v>3038</v>
      </c>
      <c r="J590" s="223"/>
    </row>
    <row r="591" spans="1:10" s="144" customFormat="1" ht="12.75" x14ac:dyDescent="0.25">
      <c r="A591" s="21">
        <v>372269000</v>
      </c>
      <c r="B591" s="22" t="s">
        <v>1250</v>
      </c>
      <c r="C591" s="10">
        <v>183</v>
      </c>
      <c r="D591" s="10">
        <v>29553</v>
      </c>
      <c r="E591" s="10" t="s">
        <v>177</v>
      </c>
      <c r="F591" s="10"/>
      <c r="G591" s="10"/>
      <c r="H591" s="10"/>
      <c r="I591" s="23" t="s">
        <v>160</v>
      </c>
      <c r="J591" s="223"/>
    </row>
    <row r="592" spans="1:10" s="144" customFormat="1" ht="12.75" x14ac:dyDescent="0.25">
      <c r="A592" s="21">
        <v>525401702</v>
      </c>
      <c r="B592" s="22" t="s">
        <v>1251</v>
      </c>
      <c r="C592" s="10" t="s">
        <v>1252</v>
      </c>
      <c r="D592" s="10" t="s">
        <v>1253</v>
      </c>
      <c r="E592" s="10" t="s">
        <v>1257</v>
      </c>
      <c r="F592" s="10"/>
      <c r="G592" s="10"/>
      <c r="H592" s="10"/>
      <c r="I592" s="23" t="s">
        <v>39</v>
      </c>
      <c r="J592" s="223"/>
    </row>
    <row r="593" spans="1:10" s="144" customFormat="1" ht="12.75" x14ac:dyDescent="0.2">
      <c r="A593" s="60">
        <v>567506000</v>
      </c>
      <c r="B593" s="22" t="s">
        <v>1254</v>
      </c>
      <c r="C593" s="10" t="s">
        <v>1255</v>
      </c>
      <c r="D593" s="10">
        <v>4796</v>
      </c>
      <c r="E593" s="10" t="s">
        <v>764</v>
      </c>
      <c r="F593" s="10"/>
      <c r="G593" s="10"/>
      <c r="H593" s="10"/>
      <c r="I593" s="23" t="s">
        <v>45</v>
      </c>
      <c r="J593" s="223"/>
    </row>
    <row r="594" spans="1:10" s="144" customFormat="1" ht="12.75" x14ac:dyDescent="0.25">
      <c r="A594" s="21">
        <v>229308000</v>
      </c>
      <c r="B594" s="22" t="s">
        <v>1258</v>
      </c>
      <c r="C594" s="10">
        <v>210</v>
      </c>
      <c r="D594" s="10">
        <v>42744</v>
      </c>
      <c r="E594" s="10">
        <v>12.3</v>
      </c>
      <c r="F594" s="10"/>
      <c r="G594" s="10"/>
      <c r="H594" s="10"/>
      <c r="I594" s="23" t="s">
        <v>516</v>
      </c>
      <c r="J594" s="223"/>
    </row>
    <row r="595" spans="1:10" s="144" customFormat="1" ht="12.75" x14ac:dyDescent="0.25">
      <c r="A595" s="21">
        <v>525022881</v>
      </c>
      <c r="B595" s="22" t="s">
        <v>1259</v>
      </c>
      <c r="C595" s="10" t="s">
        <v>1260</v>
      </c>
      <c r="D595" s="10" t="s">
        <v>1261</v>
      </c>
      <c r="E595" s="10" t="s">
        <v>609</v>
      </c>
      <c r="F595" s="10"/>
      <c r="G595" s="10"/>
      <c r="H595" s="10"/>
      <c r="I595" s="23" t="s">
        <v>245</v>
      </c>
      <c r="J595" s="223"/>
    </row>
    <row r="596" spans="1:10" s="144" customFormat="1" ht="12.75" x14ac:dyDescent="0.25">
      <c r="A596" s="7">
        <v>574001010</v>
      </c>
      <c r="B596" s="22" t="s">
        <v>1262</v>
      </c>
      <c r="C596" s="10">
        <v>92</v>
      </c>
      <c r="D596" s="10">
        <v>2999</v>
      </c>
      <c r="E596" s="25" t="s">
        <v>1016</v>
      </c>
      <c r="F596" s="10"/>
      <c r="G596" s="10"/>
      <c r="H596" s="10"/>
      <c r="I596" s="23" t="s">
        <v>47</v>
      </c>
      <c r="J596" s="223"/>
    </row>
    <row r="597" spans="1:10" s="144" customFormat="1" ht="12.75" x14ac:dyDescent="0.25">
      <c r="A597" s="21">
        <v>636022611</v>
      </c>
      <c r="B597" s="22" t="s">
        <v>1263</v>
      </c>
      <c r="C597" s="10">
        <v>222.14</v>
      </c>
      <c r="D597" s="10">
        <v>28596</v>
      </c>
      <c r="E597" s="10">
        <v>10.9</v>
      </c>
      <c r="F597" s="10"/>
      <c r="G597" s="10"/>
      <c r="H597" s="10"/>
      <c r="I597" s="23" t="s">
        <v>1381</v>
      </c>
      <c r="J597" s="223"/>
    </row>
    <row r="598" spans="1:10" s="144" customFormat="1" ht="12.75" x14ac:dyDescent="0.25">
      <c r="A598" s="21">
        <v>525401688</v>
      </c>
      <c r="B598" s="22" t="s">
        <v>1264</v>
      </c>
      <c r="C598" s="10" t="s">
        <v>1265</v>
      </c>
      <c r="D598" s="10" t="s">
        <v>1266</v>
      </c>
      <c r="E598" s="10" t="s">
        <v>1267</v>
      </c>
      <c r="F598" s="10"/>
      <c r="G598" s="10"/>
      <c r="H598" s="10"/>
      <c r="I598" s="23" t="s">
        <v>41</v>
      </c>
      <c r="J598" s="223"/>
    </row>
    <row r="599" spans="1:10" s="144" customFormat="1" ht="12.75" x14ac:dyDescent="0.25">
      <c r="A599" s="21">
        <v>548667000</v>
      </c>
      <c r="B599" s="22" t="s">
        <v>1268</v>
      </c>
      <c r="C599" s="10">
        <v>200</v>
      </c>
      <c r="D599" s="10">
        <v>34728</v>
      </c>
      <c r="E599" s="10">
        <v>8.1</v>
      </c>
      <c r="F599" s="10"/>
      <c r="G599" s="10"/>
      <c r="H599" s="10"/>
      <c r="I599" s="23" t="s">
        <v>249</v>
      </c>
      <c r="J599" s="223"/>
    </row>
    <row r="600" spans="1:10" s="144" customFormat="1" ht="12.75" x14ac:dyDescent="0.25">
      <c r="A600" s="7">
        <v>525020225</v>
      </c>
      <c r="B600" s="22" t="s">
        <v>1269</v>
      </c>
      <c r="C600" s="10" t="s">
        <v>676</v>
      </c>
      <c r="D600" s="10" t="s">
        <v>1270</v>
      </c>
      <c r="E600" s="10" t="s">
        <v>1271</v>
      </c>
      <c r="F600" s="10"/>
      <c r="G600" s="10"/>
      <c r="H600" s="10"/>
      <c r="I600" s="23" t="s">
        <v>892</v>
      </c>
      <c r="J600" s="223"/>
    </row>
    <row r="601" spans="1:10" s="144" customFormat="1" ht="12.75" x14ac:dyDescent="0.25">
      <c r="A601" s="21">
        <v>538009098</v>
      </c>
      <c r="B601" s="22" t="s">
        <v>1272</v>
      </c>
      <c r="C601" s="10">
        <v>183</v>
      </c>
      <c r="D601" s="10">
        <v>29671</v>
      </c>
      <c r="E601" s="10">
        <v>8.4</v>
      </c>
      <c r="F601" s="10"/>
      <c r="G601" s="10"/>
      <c r="H601" s="10"/>
      <c r="I601" s="23" t="s">
        <v>920</v>
      </c>
      <c r="J601" s="223"/>
    </row>
    <row r="602" spans="1:10" s="144" customFormat="1" ht="12.75" x14ac:dyDescent="0.25">
      <c r="A602" s="21">
        <v>563142900</v>
      </c>
      <c r="B602" s="22" t="s">
        <v>1273</v>
      </c>
      <c r="C602" s="10">
        <v>182.9</v>
      </c>
      <c r="D602" s="10">
        <v>29105</v>
      </c>
      <c r="E602" s="10">
        <v>12.15</v>
      </c>
      <c r="F602" s="10"/>
      <c r="G602" s="10"/>
      <c r="H602" s="10"/>
      <c r="I602" s="23" t="s">
        <v>150</v>
      </c>
      <c r="J602" s="223"/>
    </row>
    <row r="603" spans="1:10" s="144" customFormat="1" ht="12.75" x14ac:dyDescent="0.2">
      <c r="A603" s="60">
        <v>525100886</v>
      </c>
      <c r="B603" s="18" t="s">
        <v>1274</v>
      </c>
      <c r="C603" s="10" t="s">
        <v>1749</v>
      </c>
      <c r="D603" s="10" t="s">
        <v>1750</v>
      </c>
      <c r="E603" s="25" t="s">
        <v>700</v>
      </c>
      <c r="F603" s="10"/>
      <c r="G603" s="10"/>
      <c r="H603" s="10"/>
      <c r="I603" s="23" t="s">
        <v>39</v>
      </c>
      <c r="J603" s="223"/>
    </row>
    <row r="604" spans="1:10" s="144" customFormat="1" ht="12.75" x14ac:dyDescent="0.25">
      <c r="A604" s="21">
        <v>525015569</v>
      </c>
      <c r="B604" s="22" t="s">
        <v>3728</v>
      </c>
      <c r="C604" s="10" t="s">
        <v>3729</v>
      </c>
      <c r="D604" s="10" t="s">
        <v>3730</v>
      </c>
      <c r="E604" s="10" t="s">
        <v>1615</v>
      </c>
      <c r="F604" s="10"/>
      <c r="G604" s="10"/>
      <c r="H604" s="10"/>
      <c r="I604" s="23" t="s">
        <v>150</v>
      </c>
      <c r="J604" s="223"/>
    </row>
    <row r="605" spans="1:10" s="144" customFormat="1" ht="12.75" x14ac:dyDescent="0.25">
      <c r="A605" s="7">
        <v>525020055</v>
      </c>
      <c r="B605" s="22" t="s">
        <v>1339</v>
      </c>
      <c r="C605" s="10" t="s">
        <v>1338</v>
      </c>
      <c r="D605" s="10" t="s">
        <v>1275</v>
      </c>
      <c r="E605" s="25" t="s">
        <v>1276</v>
      </c>
      <c r="F605" s="10"/>
      <c r="G605" s="10"/>
      <c r="H605" s="10"/>
      <c r="I605" s="23" t="s">
        <v>249</v>
      </c>
      <c r="J605" s="223"/>
    </row>
    <row r="606" spans="1:10" s="144" customFormat="1" ht="12.75" x14ac:dyDescent="0.25">
      <c r="A606" s="21">
        <v>525200368</v>
      </c>
      <c r="B606" s="22" t="s">
        <v>1277</v>
      </c>
      <c r="C606" s="10" t="s">
        <v>746</v>
      </c>
      <c r="D606" s="10" t="s">
        <v>1278</v>
      </c>
      <c r="E606" s="10" t="s">
        <v>1279</v>
      </c>
      <c r="F606" s="10"/>
      <c r="G606" s="10"/>
      <c r="H606" s="10"/>
      <c r="I606" s="23" t="s">
        <v>41</v>
      </c>
      <c r="J606" s="223"/>
    </row>
    <row r="607" spans="1:10" s="144" customFormat="1" ht="12.75" x14ac:dyDescent="0.2">
      <c r="A607" s="60">
        <v>525112006</v>
      </c>
      <c r="B607" s="22" t="s">
        <v>1280</v>
      </c>
      <c r="C607" s="10">
        <v>180</v>
      </c>
      <c r="D607" s="10">
        <v>23437</v>
      </c>
      <c r="E607" s="10" t="s">
        <v>980</v>
      </c>
      <c r="F607" s="10"/>
      <c r="G607" s="10"/>
      <c r="H607" s="10"/>
      <c r="I607" s="23" t="s">
        <v>249</v>
      </c>
      <c r="J607" s="223"/>
    </row>
    <row r="608" spans="1:10" s="144" customFormat="1" ht="12.75" x14ac:dyDescent="0.2">
      <c r="A608" s="60">
        <v>525100250</v>
      </c>
      <c r="B608" s="18" t="s">
        <v>1281</v>
      </c>
      <c r="C608" s="10" t="s">
        <v>1282</v>
      </c>
      <c r="D608" s="10" t="s">
        <v>1283</v>
      </c>
      <c r="E608" s="10" t="s">
        <v>1284</v>
      </c>
      <c r="F608" s="10"/>
      <c r="G608" s="10"/>
      <c r="H608" s="10"/>
      <c r="I608" s="23" t="s">
        <v>65</v>
      </c>
      <c r="J608" s="223"/>
    </row>
    <row r="609" spans="1:10" s="144" customFormat="1" ht="12.75" x14ac:dyDescent="0.25">
      <c r="A609" s="21">
        <v>525003035</v>
      </c>
      <c r="B609" s="22" t="s">
        <v>1285</v>
      </c>
      <c r="C609" s="10" t="s">
        <v>1286</v>
      </c>
      <c r="D609" s="10" t="s">
        <v>1287</v>
      </c>
      <c r="E609" s="10" t="s">
        <v>1288</v>
      </c>
      <c r="F609" s="10"/>
      <c r="G609" s="10"/>
      <c r="H609" s="10"/>
      <c r="I609" s="23" t="s">
        <v>1289</v>
      </c>
      <c r="J609" s="223"/>
    </row>
    <row r="610" spans="1:10" s="144" customFormat="1" ht="12.75" x14ac:dyDescent="0.25">
      <c r="A610" s="21">
        <v>525400310</v>
      </c>
      <c r="B610" s="22" t="s">
        <v>1290</v>
      </c>
      <c r="C610" s="10" t="s">
        <v>1291</v>
      </c>
      <c r="D610" s="10" t="s">
        <v>1292</v>
      </c>
      <c r="E610" s="10" t="s">
        <v>1293</v>
      </c>
      <c r="F610" s="10"/>
      <c r="G610" s="10"/>
      <c r="H610" s="10"/>
      <c r="I610" s="23" t="s">
        <v>245</v>
      </c>
      <c r="J610" s="223"/>
    </row>
    <row r="611" spans="1:10" s="144" customFormat="1" ht="12.75" x14ac:dyDescent="0.25">
      <c r="A611" s="7">
        <v>525007110</v>
      </c>
      <c r="B611" s="22" t="s">
        <v>1294</v>
      </c>
      <c r="C611" s="10" t="s">
        <v>1295</v>
      </c>
      <c r="D611" s="10" t="s">
        <v>1296</v>
      </c>
      <c r="E611" s="25" t="s">
        <v>3250</v>
      </c>
      <c r="F611" s="10"/>
      <c r="G611" s="10"/>
      <c r="H611" s="10"/>
      <c r="I611" s="23" t="s">
        <v>84</v>
      </c>
      <c r="J611" s="223"/>
    </row>
    <row r="612" spans="1:10" s="144" customFormat="1" ht="12.75" x14ac:dyDescent="0.25">
      <c r="A612" s="21">
        <v>525024257</v>
      </c>
      <c r="B612" s="22" t="s">
        <v>1297</v>
      </c>
      <c r="C612" s="10">
        <v>81</v>
      </c>
      <c r="D612" s="10">
        <v>2876</v>
      </c>
      <c r="E612" s="10" t="s">
        <v>764</v>
      </c>
      <c r="F612" s="10"/>
      <c r="G612" s="10"/>
      <c r="H612" s="10"/>
      <c r="I612" s="23" t="s">
        <v>92</v>
      </c>
      <c r="J612" s="223"/>
    </row>
    <row r="613" spans="1:10" s="144" customFormat="1" ht="12.75" x14ac:dyDescent="0.25">
      <c r="A613" s="7">
        <v>636022208</v>
      </c>
      <c r="B613" s="22" t="s">
        <v>1298</v>
      </c>
      <c r="C613" s="10" t="s">
        <v>1299</v>
      </c>
      <c r="D613" s="10">
        <v>36455</v>
      </c>
      <c r="E613" s="25" t="s">
        <v>1300</v>
      </c>
      <c r="F613" s="10"/>
      <c r="G613" s="10"/>
      <c r="H613" s="10"/>
      <c r="I613" s="23" t="s">
        <v>262</v>
      </c>
      <c r="J613" s="223"/>
    </row>
    <row r="614" spans="1:10" s="144" customFormat="1" ht="12.75" x14ac:dyDescent="0.25">
      <c r="A614" s="21">
        <v>525600817</v>
      </c>
      <c r="B614" s="22" t="s">
        <v>1301</v>
      </c>
      <c r="C614" s="10" t="s">
        <v>920</v>
      </c>
      <c r="D614" s="10" t="s">
        <v>920</v>
      </c>
      <c r="E614" s="10" t="s">
        <v>919</v>
      </c>
      <c r="F614" s="10"/>
      <c r="G614" s="10"/>
      <c r="H614" s="10"/>
      <c r="I614" s="23" t="s">
        <v>920</v>
      </c>
      <c r="J614" s="223"/>
    </row>
    <row r="615" spans="1:10" s="144" customFormat="1" ht="12.75" x14ac:dyDescent="0.25">
      <c r="A615" s="7">
        <v>525107007</v>
      </c>
      <c r="B615" s="22" t="s">
        <v>1302</v>
      </c>
      <c r="C615" s="10">
        <v>133</v>
      </c>
      <c r="D615" s="10">
        <v>9127</v>
      </c>
      <c r="E615" s="25" t="s">
        <v>902</v>
      </c>
      <c r="F615" s="10"/>
      <c r="G615" s="10"/>
      <c r="H615" s="10"/>
      <c r="I615" s="23" t="s">
        <v>96</v>
      </c>
      <c r="J615" s="223"/>
    </row>
    <row r="616" spans="1:10" s="144" customFormat="1" ht="12.75" x14ac:dyDescent="0.25">
      <c r="A616" s="7">
        <v>525500011</v>
      </c>
      <c r="B616" s="22" t="s">
        <v>1303</v>
      </c>
      <c r="C616" s="10" t="s">
        <v>624</v>
      </c>
      <c r="D616" s="10" t="s">
        <v>625</v>
      </c>
      <c r="E616" s="10" t="s">
        <v>626</v>
      </c>
      <c r="F616" s="25" t="s">
        <v>73</v>
      </c>
      <c r="G616" s="38"/>
      <c r="H616" s="38"/>
      <c r="I616" s="23" t="s">
        <v>150</v>
      </c>
      <c r="J616" s="223"/>
    </row>
    <row r="617" spans="1:10" s="144" customFormat="1" ht="12.75" x14ac:dyDescent="0.25">
      <c r="A617" s="21">
        <v>374462000</v>
      </c>
      <c r="B617" s="22" t="s">
        <v>1304</v>
      </c>
      <c r="C617" s="10">
        <v>229</v>
      </c>
      <c r="D617" s="10">
        <v>34396</v>
      </c>
      <c r="E617" s="10">
        <v>14</v>
      </c>
      <c r="F617" s="10"/>
      <c r="G617" s="10"/>
      <c r="H617" s="10"/>
      <c r="I617" s="23" t="s">
        <v>154</v>
      </c>
      <c r="J617" s="223"/>
    </row>
    <row r="618" spans="1:10" s="144" customFormat="1" ht="12.75" x14ac:dyDescent="0.25">
      <c r="A618" s="21">
        <v>370290000</v>
      </c>
      <c r="B618" s="22" t="s">
        <v>1305</v>
      </c>
      <c r="C618" s="10">
        <v>292</v>
      </c>
      <c r="D618" s="10">
        <v>94817</v>
      </c>
      <c r="E618" s="10">
        <v>9.4</v>
      </c>
      <c r="F618" s="10"/>
      <c r="G618" s="10"/>
      <c r="H618" s="10"/>
      <c r="I618" s="23" t="s">
        <v>172</v>
      </c>
      <c r="J618" s="223"/>
    </row>
    <row r="619" spans="1:10" s="144" customFormat="1" ht="12.75" x14ac:dyDescent="0.25">
      <c r="A619" s="21">
        <v>525009107</v>
      </c>
      <c r="B619" s="22" t="s">
        <v>1306</v>
      </c>
      <c r="C619" s="10" t="s">
        <v>1307</v>
      </c>
      <c r="D619" s="10" t="s">
        <v>1309</v>
      </c>
      <c r="E619" s="10" t="s">
        <v>1308</v>
      </c>
      <c r="F619" s="10"/>
      <c r="G619" s="10"/>
      <c r="H619" s="10"/>
      <c r="I619" s="23" t="s">
        <v>46</v>
      </c>
      <c r="J619" s="223"/>
    </row>
    <row r="620" spans="1:10" s="144" customFormat="1" ht="12.75" x14ac:dyDescent="0.25">
      <c r="A620" s="21">
        <v>574497000</v>
      </c>
      <c r="B620" s="22" t="s">
        <v>1310</v>
      </c>
      <c r="C620" s="10">
        <v>91</v>
      </c>
      <c r="D620" s="10">
        <v>2551</v>
      </c>
      <c r="E620" s="10">
        <v>6.1</v>
      </c>
      <c r="F620" s="10"/>
      <c r="G620" s="10"/>
      <c r="H620" s="10"/>
      <c r="I620" s="23" t="s">
        <v>47</v>
      </c>
      <c r="J620" s="223"/>
    </row>
    <row r="621" spans="1:10" s="144" customFormat="1" ht="12.75" x14ac:dyDescent="0.25">
      <c r="A621" s="21">
        <v>372053000</v>
      </c>
      <c r="B621" s="22" t="s">
        <v>1311</v>
      </c>
      <c r="C621" s="10">
        <v>127</v>
      </c>
      <c r="D621" s="10">
        <v>9965</v>
      </c>
      <c r="E621" s="10">
        <v>6.4</v>
      </c>
      <c r="F621" s="10"/>
      <c r="G621" s="10"/>
      <c r="H621" s="10"/>
      <c r="I621" s="23" t="s">
        <v>262</v>
      </c>
      <c r="J621" s="223"/>
    </row>
    <row r="622" spans="1:10" s="144" customFormat="1" ht="12.75" x14ac:dyDescent="0.25">
      <c r="A622" s="21">
        <v>525007414</v>
      </c>
      <c r="B622" s="22" t="s">
        <v>1312</v>
      </c>
      <c r="C622" s="10" t="s">
        <v>1863</v>
      </c>
      <c r="D622" s="10" t="s">
        <v>1313</v>
      </c>
      <c r="E622" s="10" t="s">
        <v>1864</v>
      </c>
      <c r="F622" s="10"/>
      <c r="G622" s="10"/>
      <c r="H622" s="10"/>
      <c r="I622" s="23" t="s">
        <v>96</v>
      </c>
      <c r="J622" s="223"/>
    </row>
    <row r="623" spans="1:10" s="144" customFormat="1" ht="12.75" x14ac:dyDescent="0.25">
      <c r="A623" s="21">
        <v>525900711</v>
      </c>
      <c r="B623" s="22" t="s">
        <v>3365</v>
      </c>
      <c r="C623" s="10" t="s">
        <v>3528</v>
      </c>
      <c r="D623" s="10" t="s">
        <v>3529</v>
      </c>
      <c r="E623" s="10" t="s">
        <v>3822</v>
      </c>
      <c r="F623" s="10"/>
      <c r="G623" s="10"/>
      <c r="H623" s="10"/>
      <c r="I623" s="23" t="s">
        <v>41</v>
      </c>
      <c r="J623" s="223"/>
    </row>
    <row r="624" spans="1:10" s="144" customFormat="1" ht="12.75" x14ac:dyDescent="0.25">
      <c r="A624" s="7">
        <v>525007053</v>
      </c>
      <c r="B624" s="22" t="s">
        <v>1315</v>
      </c>
      <c r="C624" s="10" t="s">
        <v>1316</v>
      </c>
      <c r="D624" s="10" t="s">
        <v>1317</v>
      </c>
      <c r="E624" s="25" t="s">
        <v>1318</v>
      </c>
      <c r="F624" s="10"/>
      <c r="G624" s="10"/>
      <c r="H624" s="10"/>
      <c r="I624" s="23" t="s">
        <v>258</v>
      </c>
      <c r="J624" s="223"/>
    </row>
    <row r="625" spans="1:10" s="144" customFormat="1" ht="12.75" x14ac:dyDescent="0.25">
      <c r="A625" s="21">
        <v>441213000</v>
      </c>
      <c r="B625" s="22" t="s">
        <v>1319</v>
      </c>
      <c r="C625" s="10">
        <v>120</v>
      </c>
      <c r="D625" s="10">
        <v>8972</v>
      </c>
      <c r="E625" s="10">
        <v>6.7</v>
      </c>
      <c r="F625" s="10"/>
      <c r="G625" s="10"/>
      <c r="H625" s="10"/>
      <c r="I625" s="23" t="s">
        <v>47</v>
      </c>
      <c r="J625" s="223"/>
    </row>
    <row r="626" spans="1:10" s="144" customFormat="1" ht="12.75" x14ac:dyDescent="0.25">
      <c r="A626" s="21">
        <v>370081000</v>
      </c>
      <c r="B626" s="22" t="s">
        <v>1320</v>
      </c>
      <c r="C626" s="10">
        <v>170</v>
      </c>
      <c r="D626" s="10">
        <v>17428</v>
      </c>
      <c r="E626" s="10">
        <v>6.11</v>
      </c>
      <c r="F626" s="10"/>
      <c r="G626" s="10"/>
      <c r="H626" s="10"/>
      <c r="I626" s="23" t="s">
        <v>43</v>
      </c>
      <c r="J626" s="223"/>
    </row>
    <row r="627" spans="1:10" s="144" customFormat="1" ht="12.75" x14ac:dyDescent="0.25">
      <c r="A627" s="21">
        <v>525600499</v>
      </c>
      <c r="B627" s="22" t="s">
        <v>1321</v>
      </c>
      <c r="C627" s="10">
        <v>89</v>
      </c>
      <c r="D627" s="10">
        <v>1930</v>
      </c>
      <c r="E627" s="10">
        <v>5.7</v>
      </c>
      <c r="F627" s="10"/>
      <c r="G627" s="10"/>
      <c r="H627" s="10"/>
      <c r="I627" s="23" t="s">
        <v>260</v>
      </c>
      <c r="J627" s="223"/>
    </row>
    <row r="628" spans="1:10" s="144" customFormat="1" ht="12.75" x14ac:dyDescent="0.25">
      <c r="A628" s="21">
        <v>574946000</v>
      </c>
      <c r="B628" s="22" t="s">
        <v>1322</v>
      </c>
      <c r="C628" s="10">
        <v>92</v>
      </c>
      <c r="D628" s="10">
        <v>2989</v>
      </c>
      <c r="E628" s="10">
        <v>3.9</v>
      </c>
      <c r="F628" s="10"/>
      <c r="G628" s="10"/>
      <c r="H628" s="10"/>
      <c r="I628" s="23" t="s">
        <v>516</v>
      </c>
      <c r="J628" s="223"/>
    </row>
    <row r="629" spans="1:10" s="144" customFormat="1" ht="12.75" x14ac:dyDescent="0.25">
      <c r="A629" s="7">
        <v>525007136</v>
      </c>
      <c r="B629" s="22" t="s">
        <v>1326</v>
      </c>
      <c r="C629" s="10" t="s">
        <v>1323</v>
      </c>
      <c r="D629" s="10" t="s">
        <v>1324</v>
      </c>
      <c r="E629" s="25" t="s">
        <v>1325</v>
      </c>
      <c r="F629" s="10"/>
      <c r="G629" s="10"/>
      <c r="H629" s="10"/>
      <c r="I629" s="23" t="s">
        <v>46</v>
      </c>
      <c r="J629" s="223"/>
    </row>
    <row r="630" spans="1:10" s="144" customFormat="1" ht="12.75" x14ac:dyDescent="0.25">
      <c r="A630" s="21">
        <v>441927000</v>
      </c>
      <c r="B630" s="22" t="s">
        <v>1327</v>
      </c>
      <c r="C630" s="10">
        <v>124</v>
      </c>
      <c r="D630" s="10">
        <v>7143</v>
      </c>
      <c r="E630" s="10">
        <v>7.6</v>
      </c>
      <c r="F630" s="10"/>
      <c r="G630" s="10"/>
      <c r="H630" s="10"/>
      <c r="I630" s="23" t="s">
        <v>47</v>
      </c>
      <c r="J630" s="223"/>
    </row>
    <row r="631" spans="1:10" s="144" customFormat="1" ht="12.75" x14ac:dyDescent="0.25">
      <c r="A631" s="21">
        <v>525300502</v>
      </c>
      <c r="B631" s="22" t="s">
        <v>1328</v>
      </c>
      <c r="C631" s="10" t="s">
        <v>1329</v>
      </c>
      <c r="D631" s="10" t="s">
        <v>1330</v>
      </c>
      <c r="E631" s="10" t="s">
        <v>711</v>
      </c>
      <c r="F631" s="10"/>
      <c r="G631" s="10"/>
      <c r="H631" s="10"/>
      <c r="I631" s="23" t="s">
        <v>65</v>
      </c>
      <c r="J631" s="223"/>
    </row>
    <row r="632" spans="1:10" s="144" customFormat="1" ht="12.75" x14ac:dyDescent="0.25">
      <c r="A632" s="21">
        <v>525109005</v>
      </c>
      <c r="B632" s="22" t="s">
        <v>1331</v>
      </c>
      <c r="C632" s="10">
        <v>114.9</v>
      </c>
      <c r="D632" s="10">
        <v>5201</v>
      </c>
      <c r="E632" s="10">
        <v>4.5999999999999996</v>
      </c>
      <c r="F632" s="10"/>
      <c r="G632" s="10"/>
      <c r="H632" s="10"/>
      <c r="I632" s="23" t="s">
        <v>160</v>
      </c>
      <c r="J632" s="223"/>
    </row>
    <row r="633" spans="1:10" s="144" customFormat="1" ht="12.75" x14ac:dyDescent="0.25">
      <c r="A633" s="21">
        <v>525015840</v>
      </c>
      <c r="B633" s="22" t="s">
        <v>1332</v>
      </c>
      <c r="C633" s="10">
        <v>86.5</v>
      </c>
      <c r="D633" s="10">
        <v>2193</v>
      </c>
      <c r="E633" s="10">
        <v>3.4</v>
      </c>
      <c r="F633" s="10"/>
      <c r="G633" s="10"/>
      <c r="H633" s="10"/>
      <c r="I633" s="23" t="s">
        <v>150</v>
      </c>
      <c r="J633" s="223"/>
    </row>
    <row r="634" spans="1:10" s="144" customFormat="1" ht="12.75" x14ac:dyDescent="0.25">
      <c r="A634" s="21">
        <v>525005239</v>
      </c>
      <c r="B634" s="22" t="s">
        <v>1334</v>
      </c>
      <c r="C634" s="10" t="s">
        <v>1724</v>
      </c>
      <c r="D634" s="10" t="s">
        <v>1335</v>
      </c>
      <c r="E634" s="10" t="s">
        <v>1725</v>
      </c>
      <c r="F634" s="10"/>
      <c r="G634" s="10"/>
      <c r="H634" s="10" t="s">
        <v>388</v>
      </c>
      <c r="I634" s="23" t="s">
        <v>46</v>
      </c>
      <c r="J634" s="223"/>
    </row>
    <row r="635" spans="1:10" s="144" customFormat="1" ht="12.75" x14ac:dyDescent="0.25">
      <c r="A635" s="21">
        <v>636021597</v>
      </c>
      <c r="B635" s="22" t="s">
        <v>1336</v>
      </c>
      <c r="C635" s="10">
        <v>211</v>
      </c>
      <c r="D635" s="10">
        <v>32284</v>
      </c>
      <c r="E635" s="10">
        <v>8.42</v>
      </c>
      <c r="F635" s="10"/>
      <c r="G635" s="10"/>
      <c r="H635" s="10"/>
      <c r="I635" s="23" t="s">
        <v>84</v>
      </c>
      <c r="J635" s="223"/>
    </row>
    <row r="636" spans="1:10" s="144" customFormat="1" ht="12.75" x14ac:dyDescent="0.25">
      <c r="A636" s="21">
        <v>352001670</v>
      </c>
      <c r="B636" s="22" t="s">
        <v>1337</v>
      </c>
      <c r="C636" s="7">
        <v>199.9</v>
      </c>
      <c r="D636" s="7">
        <v>35627</v>
      </c>
      <c r="E636" s="7">
        <v>8.36</v>
      </c>
      <c r="F636" s="10"/>
      <c r="G636" s="10"/>
      <c r="H636" s="10"/>
      <c r="I636" s="23"/>
      <c r="J636" s="223"/>
    </row>
    <row r="637" spans="1:10" s="144" customFormat="1" ht="12.75" x14ac:dyDescent="0.25">
      <c r="A637" s="21">
        <v>354856000</v>
      </c>
      <c r="B637" s="22" t="s">
        <v>1340</v>
      </c>
      <c r="C637" s="101">
        <v>132</v>
      </c>
      <c r="D637" s="7">
        <v>10650</v>
      </c>
      <c r="E637" s="7">
        <v>5.2</v>
      </c>
      <c r="F637" s="10"/>
      <c r="G637" s="10"/>
      <c r="H637" s="10"/>
      <c r="I637" s="23" t="s">
        <v>262</v>
      </c>
      <c r="J637" s="223"/>
    </row>
    <row r="638" spans="1:10" s="144" customFormat="1" ht="12.75" x14ac:dyDescent="0.25">
      <c r="A638" s="7">
        <v>525300193</v>
      </c>
      <c r="B638" s="22" t="s">
        <v>1341</v>
      </c>
      <c r="C638" s="10" t="s">
        <v>3160</v>
      </c>
      <c r="D638" s="10" t="s">
        <v>1342</v>
      </c>
      <c r="E638" s="25" t="s">
        <v>1846</v>
      </c>
      <c r="F638" s="10"/>
      <c r="G638" s="10"/>
      <c r="H638" s="10"/>
      <c r="I638" s="23" t="s">
        <v>245</v>
      </c>
      <c r="J638" s="223"/>
    </row>
    <row r="639" spans="1:10" s="144" customFormat="1" ht="12.75" x14ac:dyDescent="0.25">
      <c r="A639" s="21">
        <v>525700701</v>
      </c>
      <c r="B639" s="22" t="s">
        <v>1344</v>
      </c>
      <c r="C639" s="10">
        <v>113</v>
      </c>
      <c r="D639" s="10">
        <v>4194</v>
      </c>
      <c r="E639" s="10" t="s">
        <v>1857</v>
      </c>
      <c r="F639" s="10"/>
      <c r="G639" s="10"/>
      <c r="H639" s="10"/>
      <c r="I639" s="23" t="s">
        <v>245</v>
      </c>
      <c r="J639" s="223"/>
    </row>
    <row r="640" spans="1:10" s="144" customFormat="1" ht="12.75" x14ac:dyDescent="0.25">
      <c r="A640" s="21">
        <v>525600237</v>
      </c>
      <c r="B640" s="22" t="s">
        <v>1345</v>
      </c>
      <c r="C640" s="10">
        <v>32</v>
      </c>
      <c r="D640" s="10">
        <v>256</v>
      </c>
      <c r="E640" s="10">
        <v>2.9</v>
      </c>
      <c r="F640" s="10"/>
      <c r="G640" s="10"/>
      <c r="H640" s="10"/>
      <c r="I640" s="23" t="s">
        <v>2620</v>
      </c>
      <c r="J640" s="223"/>
    </row>
    <row r="641" spans="1:10" s="144" customFormat="1" ht="12.75" x14ac:dyDescent="0.25">
      <c r="A641" s="21">
        <v>525021413</v>
      </c>
      <c r="B641" s="22" t="s">
        <v>1346</v>
      </c>
      <c r="C641" s="10" t="s">
        <v>1347</v>
      </c>
      <c r="D641" s="10" t="s">
        <v>1348</v>
      </c>
      <c r="E641" s="10" t="s">
        <v>3750</v>
      </c>
      <c r="F641" s="10"/>
      <c r="G641" s="10"/>
      <c r="H641" s="10"/>
      <c r="I641" s="23" t="s">
        <v>245</v>
      </c>
      <c r="J641" s="223"/>
    </row>
    <row r="642" spans="1:10" s="144" customFormat="1" ht="12.75" x14ac:dyDescent="0.25">
      <c r="A642" s="21">
        <v>525500829</v>
      </c>
      <c r="B642" s="22" t="s">
        <v>1349</v>
      </c>
      <c r="C642" s="10">
        <v>30.5</v>
      </c>
      <c r="D642" s="10">
        <v>436</v>
      </c>
      <c r="E642" s="10">
        <v>3.4</v>
      </c>
      <c r="F642" s="10"/>
      <c r="G642" s="10"/>
      <c r="H642" s="10"/>
      <c r="I642" s="23" t="s">
        <v>183</v>
      </c>
      <c r="J642" s="223"/>
    </row>
    <row r="643" spans="1:10" s="144" customFormat="1" ht="12.75" x14ac:dyDescent="0.25">
      <c r="A643" s="21">
        <v>525012214</v>
      </c>
      <c r="B643" s="22" t="s">
        <v>1350</v>
      </c>
      <c r="C643" s="10">
        <v>170</v>
      </c>
      <c r="D643" s="10">
        <v>17093</v>
      </c>
      <c r="E643" s="10" t="s">
        <v>3307</v>
      </c>
      <c r="F643" s="10"/>
      <c r="G643" s="10"/>
      <c r="H643" s="10"/>
      <c r="I643" s="23" t="s">
        <v>249</v>
      </c>
      <c r="J643" s="223"/>
    </row>
    <row r="644" spans="1:10" s="144" customFormat="1" ht="12.75" x14ac:dyDescent="0.25">
      <c r="A644" s="21">
        <v>525201880</v>
      </c>
      <c r="B644" s="22" t="s">
        <v>1354</v>
      </c>
      <c r="C644" s="10" t="s">
        <v>1351</v>
      </c>
      <c r="D644" s="10" t="s">
        <v>1352</v>
      </c>
      <c r="E644" s="25" t="s">
        <v>1353</v>
      </c>
      <c r="F644" s="10"/>
      <c r="G644" s="10"/>
      <c r="H644" s="10"/>
      <c r="I644" s="23" t="s">
        <v>245</v>
      </c>
      <c r="J644" s="223"/>
    </row>
    <row r="645" spans="1:10" s="144" customFormat="1" ht="12.75" x14ac:dyDescent="0.25">
      <c r="A645" s="21">
        <v>256325000</v>
      </c>
      <c r="B645" s="22" t="s">
        <v>1355</v>
      </c>
      <c r="C645" s="10">
        <v>170</v>
      </c>
      <c r="D645" s="10">
        <v>17862</v>
      </c>
      <c r="E645" s="10">
        <v>9.6999999999999993</v>
      </c>
      <c r="F645" s="10"/>
      <c r="G645" s="10"/>
      <c r="H645" s="10"/>
      <c r="I645" s="23" t="s">
        <v>273</v>
      </c>
      <c r="J645" s="223"/>
    </row>
    <row r="646" spans="1:10" s="144" customFormat="1" ht="12.75" x14ac:dyDescent="0.25">
      <c r="A646" s="21">
        <v>352001372</v>
      </c>
      <c r="B646" s="22" t="s">
        <v>1356</v>
      </c>
      <c r="C646" s="10">
        <v>180</v>
      </c>
      <c r="D646" s="10">
        <v>22635</v>
      </c>
      <c r="E646" s="10">
        <v>10.3</v>
      </c>
      <c r="F646" s="10"/>
      <c r="G646" s="10"/>
      <c r="H646" s="10"/>
      <c r="I646" s="23" t="s">
        <v>160</v>
      </c>
      <c r="J646" s="223"/>
    </row>
    <row r="647" spans="1:10" s="144" customFormat="1" ht="12.75" x14ac:dyDescent="0.2">
      <c r="A647" s="60">
        <v>258012111</v>
      </c>
      <c r="B647" s="22" t="s">
        <v>1357</v>
      </c>
      <c r="C647" s="10">
        <v>174</v>
      </c>
      <c r="D647" s="10">
        <v>20058</v>
      </c>
      <c r="E647" s="10">
        <v>8.8000000000000007</v>
      </c>
      <c r="F647" s="10"/>
      <c r="G647" s="10"/>
      <c r="H647" s="10"/>
      <c r="I647" s="23" t="s">
        <v>47</v>
      </c>
      <c r="J647" s="223"/>
    </row>
    <row r="648" spans="1:10" s="144" customFormat="1" ht="12.75" x14ac:dyDescent="0.25">
      <c r="A648" s="21">
        <v>636020828</v>
      </c>
      <c r="B648" s="22" t="s">
        <v>1358</v>
      </c>
      <c r="C648" s="10">
        <v>228.9</v>
      </c>
      <c r="D648" s="10">
        <v>43987</v>
      </c>
      <c r="E648" s="10">
        <v>7</v>
      </c>
      <c r="F648" s="10"/>
      <c r="G648" s="10"/>
      <c r="H648" s="10"/>
      <c r="I648" s="23" t="s">
        <v>920</v>
      </c>
      <c r="J648" s="223"/>
    </row>
    <row r="649" spans="1:10" s="144" customFormat="1" ht="12.75" x14ac:dyDescent="0.25">
      <c r="A649" s="7">
        <v>525800664</v>
      </c>
      <c r="B649" s="75" t="s">
        <v>1359</v>
      </c>
      <c r="C649" s="25" t="s">
        <v>1360</v>
      </c>
      <c r="D649" s="25" t="s">
        <v>1361</v>
      </c>
      <c r="E649" s="25" t="s">
        <v>1353</v>
      </c>
      <c r="F649" s="76"/>
      <c r="G649" s="76"/>
      <c r="H649" s="76"/>
      <c r="I649" s="77" t="s">
        <v>46</v>
      </c>
      <c r="J649" s="223"/>
    </row>
    <row r="650" spans="1:10" s="144" customFormat="1" ht="12.75" x14ac:dyDescent="0.25">
      <c r="A650" s="7">
        <v>525400734</v>
      </c>
      <c r="B650" s="22" t="s">
        <v>1362</v>
      </c>
      <c r="C650" s="10" t="s">
        <v>1363</v>
      </c>
      <c r="D650" s="10" t="s">
        <v>1364</v>
      </c>
      <c r="E650" s="25" t="s">
        <v>1365</v>
      </c>
      <c r="F650" s="10"/>
      <c r="G650" s="10"/>
      <c r="H650" s="10"/>
      <c r="I650" s="23" t="s">
        <v>41</v>
      </c>
      <c r="J650" s="223"/>
    </row>
    <row r="651" spans="1:10" s="144" customFormat="1" ht="12.75" x14ac:dyDescent="0.25">
      <c r="A651" s="21">
        <v>373300000</v>
      </c>
      <c r="B651" s="22" t="s">
        <v>1366</v>
      </c>
      <c r="C651" s="10">
        <v>229.9</v>
      </c>
      <c r="D651" s="10">
        <v>51168</v>
      </c>
      <c r="E651" s="10">
        <v>8.7899999999999991</v>
      </c>
      <c r="F651" s="10"/>
      <c r="G651" s="10"/>
      <c r="H651" s="10"/>
      <c r="I651" s="23" t="s">
        <v>154</v>
      </c>
      <c r="J651" s="223"/>
    </row>
    <row r="652" spans="1:10" s="144" customFormat="1" ht="12.75" x14ac:dyDescent="0.25">
      <c r="A652" s="21">
        <v>525021015</v>
      </c>
      <c r="B652" s="22" t="s">
        <v>1367</v>
      </c>
      <c r="C652" s="10" t="s">
        <v>3357</v>
      </c>
      <c r="D652" s="10" t="s">
        <v>3358</v>
      </c>
      <c r="E652" s="10" t="s">
        <v>1573</v>
      </c>
      <c r="F652" s="10"/>
      <c r="G652" s="10"/>
      <c r="H652" s="10"/>
      <c r="I652" s="23" t="s">
        <v>39</v>
      </c>
      <c r="J652" s="223"/>
    </row>
    <row r="653" spans="1:10" s="144" customFormat="1" ht="12.75" x14ac:dyDescent="0.25">
      <c r="A653" s="21">
        <v>525023127</v>
      </c>
      <c r="B653" s="22" t="s">
        <v>1368</v>
      </c>
      <c r="C653" s="10" t="s">
        <v>1369</v>
      </c>
      <c r="D653" s="10" t="s">
        <v>226</v>
      </c>
      <c r="E653" s="10" t="s">
        <v>1370</v>
      </c>
      <c r="F653" s="10"/>
      <c r="G653" s="10"/>
      <c r="H653" s="10"/>
      <c r="I653" s="23" t="s">
        <v>46</v>
      </c>
      <c r="J653" s="223"/>
    </row>
    <row r="654" spans="1:10" s="144" customFormat="1" ht="12.75" x14ac:dyDescent="0.25">
      <c r="A654" s="21">
        <v>256929000</v>
      </c>
      <c r="B654" s="22" t="s">
        <v>1371</v>
      </c>
      <c r="C654" s="10">
        <v>148</v>
      </c>
      <c r="D654" s="10">
        <v>10917</v>
      </c>
      <c r="E654" s="10">
        <v>8.6999999999999993</v>
      </c>
      <c r="F654" s="10"/>
      <c r="G654" s="10"/>
      <c r="H654" s="10"/>
      <c r="I654" s="23" t="s">
        <v>160</v>
      </c>
      <c r="J654" s="223"/>
    </row>
    <row r="655" spans="1:10" s="144" customFormat="1" ht="12.75" x14ac:dyDescent="0.25">
      <c r="A655" s="21">
        <v>525023246</v>
      </c>
      <c r="B655" s="22" t="s">
        <v>1372</v>
      </c>
      <c r="C655" s="10">
        <v>100</v>
      </c>
      <c r="D655" s="10">
        <v>6175</v>
      </c>
      <c r="E655" s="10">
        <v>5.7</v>
      </c>
      <c r="F655" s="10"/>
      <c r="G655" s="10"/>
      <c r="H655" s="10"/>
      <c r="I655" s="23" t="s">
        <v>353</v>
      </c>
      <c r="J655" s="223"/>
    </row>
    <row r="656" spans="1:10" s="144" customFormat="1" ht="12.75" x14ac:dyDescent="0.2">
      <c r="A656" s="60">
        <v>370437000</v>
      </c>
      <c r="B656" s="22" t="s">
        <v>1373</v>
      </c>
      <c r="C656" s="10">
        <v>210</v>
      </c>
      <c r="D656" s="10">
        <v>27469</v>
      </c>
      <c r="E656" s="25" t="s">
        <v>1063</v>
      </c>
      <c r="F656" s="10"/>
      <c r="G656" s="10"/>
      <c r="H656" s="10"/>
      <c r="I656" s="23"/>
      <c r="J656" s="223"/>
    </row>
    <row r="657" spans="1:10" s="144" customFormat="1" ht="12.75" x14ac:dyDescent="0.2">
      <c r="A657" s="60">
        <v>538003563</v>
      </c>
      <c r="B657" s="22" t="s">
        <v>1374</v>
      </c>
      <c r="C657" s="10">
        <v>290.5</v>
      </c>
      <c r="D657" s="10">
        <v>89840</v>
      </c>
      <c r="E657" s="10">
        <v>14.3</v>
      </c>
      <c r="F657" s="10"/>
      <c r="G657" s="10"/>
      <c r="H657" s="10"/>
      <c r="I657" s="23"/>
      <c r="J657" s="223"/>
    </row>
    <row r="658" spans="1:10" s="144" customFormat="1" ht="12.75" x14ac:dyDescent="0.2">
      <c r="A658" s="60">
        <v>525300433</v>
      </c>
      <c r="B658" s="22" t="s">
        <v>1375</v>
      </c>
      <c r="C658" s="10" t="s">
        <v>1376</v>
      </c>
      <c r="D658" s="10" t="s">
        <v>1377</v>
      </c>
      <c r="E658" s="10" t="s">
        <v>1378</v>
      </c>
      <c r="F658" s="10"/>
      <c r="G658" s="10"/>
      <c r="H658" s="10"/>
      <c r="I658" s="23" t="s">
        <v>247</v>
      </c>
      <c r="J658" s="223"/>
    </row>
    <row r="659" spans="1:10" s="144" customFormat="1" ht="12.75" x14ac:dyDescent="0.25">
      <c r="A659" s="21">
        <v>525200954</v>
      </c>
      <c r="B659" s="22" t="s">
        <v>1379</v>
      </c>
      <c r="C659" s="10" t="s">
        <v>1867</v>
      </c>
      <c r="D659" s="10" t="s">
        <v>1380</v>
      </c>
      <c r="E659" s="10" t="s">
        <v>1631</v>
      </c>
      <c r="F659" s="10"/>
      <c r="G659" s="10"/>
      <c r="H659" s="10"/>
      <c r="I659" s="23" t="s">
        <v>39</v>
      </c>
      <c r="J659" s="223"/>
    </row>
    <row r="660" spans="1:10" s="144" customFormat="1" ht="12.75" x14ac:dyDescent="0.25">
      <c r="A660" s="7">
        <v>525500486</v>
      </c>
      <c r="B660" s="22" t="s">
        <v>1382</v>
      </c>
      <c r="C660" s="10" t="s">
        <v>1383</v>
      </c>
      <c r="D660" s="10" t="s">
        <v>1384</v>
      </c>
      <c r="E660" s="25" t="s">
        <v>1385</v>
      </c>
      <c r="F660" s="76"/>
      <c r="G660" s="76"/>
      <c r="H660" s="76"/>
      <c r="I660" s="23" t="s">
        <v>39</v>
      </c>
      <c r="J660" s="223"/>
    </row>
    <row r="661" spans="1:10" s="144" customFormat="1" ht="12.75" x14ac:dyDescent="0.25">
      <c r="A661" s="21">
        <v>525015861</v>
      </c>
      <c r="B661" s="22" t="s">
        <v>2210</v>
      </c>
      <c r="C661" s="10" t="s">
        <v>1386</v>
      </c>
      <c r="D661" s="10" t="s">
        <v>1387</v>
      </c>
      <c r="E661" s="10" t="s">
        <v>1388</v>
      </c>
      <c r="F661" s="10"/>
      <c r="G661" s="10"/>
      <c r="H661" s="10"/>
      <c r="I661" s="23" t="s">
        <v>46</v>
      </c>
      <c r="J661" s="223"/>
    </row>
    <row r="662" spans="1:10" s="144" customFormat="1" ht="12.75" x14ac:dyDescent="0.25">
      <c r="A662" s="7">
        <v>525018503</v>
      </c>
      <c r="B662" s="22" t="s">
        <v>1390</v>
      </c>
      <c r="C662" s="10" t="s">
        <v>464</v>
      </c>
      <c r="D662" s="10" t="s">
        <v>1389</v>
      </c>
      <c r="E662" s="10" t="s">
        <v>855</v>
      </c>
      <c r="F662" s="10"/>
      <c r="G662" s="10"/>
      <c r="H662" s="10"/>
      <c r="I662" s="23" t="s">
        <v>920</v>
      </c>
      <c r="J662" s="223"/>
    </row>
    <row r="663" spans="1:10" s="144" customFormat="1" ht="12.75" x14ac:dyDescent="0.25">
      <c r="A663" s="21">
        <v>371050000</v>
      </c>
      <c r="B663" s="22" t="s">
        <v>1391</v>
      </c>
      <c r="C663" s="10">
        <v>175</v>
      </c>
      <c r="D663" s="10">
        <v>19822</v>
      </c>
      <c r="E663" s="10">
        <v>9.8000000000000007</v>
      </c>
      <c r="F663" s="10"/>
      <c r="G663" s="10"/>
      <c r="H663" s="10"/>
      <c r="I663" s="23" t="s">
        <v>71</v>
      </c>
      <c r="J663" s="223"/>
    </row>
    <row r="664" spans="1:10" s="144" customFormat="1" ht="12.75" x14ac:dyDescent="0.25">
      <c r="A664" s="21">
        <v>525120008</v>
      </c>
      <c r="B664" s="22" t="s">
        <v>1392</v>
      </c>
      <c r="C664" s="10">
        <v>189</v>
      </c>
      <c r="D664" s="10">
        <v>29739</v>
      </c>
      <c r="E664" s="10">
        <v>7</v>
      </c>
      <c r="F664" s="10"/>
      <c r="G664" s="10"/>
      <c r="H664" s="10"/>
      <c r="I664" s="23" t="s">
        <v>920</v>
      </c>
      <c r="J664" s="223"/>
    </row>
    <row r="665" spans="1:10" s="144" customFormat="1" ht="12.75" x14ac:dyDescent="0.25">
      <c r="A665" s="21">
        <v>525200915</v>
      </c>
      <c r="B665" s="22" t="s">
        <v>1393</v>
      </c>
      <c r="C665" s="10" t="s">
        <v>1394</v>
      </c>
      <c r="D665" s="10" t="s">
        <v>1395</v>
      </c>
      <c r="E665" s="10" t="s">
        <v>1396</v>
      </c>
      <c r="F665" s="10"/>
      <c r="G665" s="10"/>
      <c r="H665" s="10" t="s">
        <v>388</v>
      </c>
      <c r="I665" s="23" t="s">
        <v>46</v>
      </c>
      <c r="J665" s="223"/>
    </row>
    <row r="666" spans="1:10" s="144" customFormat="1" ht="12.75" x14ac:dyDescent="0.25">
      <c r="A666" s="21">
        <v>538009026</v>
      </c>
      <c r="B666" s="22" t="s">
        <v>1397</v>
      </c>
      <c r="C666" s="10">
        <v>225</v>
      </c>
      <c r="D666" s="10">
        <v>40224</v>
      </c>
      <c r="E666" s="10">
        <v>7.3</v>
      </c>
      <c r="F666" s="10"/>
      <c r="G666" s="10"/>
      <c r="H666" s="10"/>
      <c r="I666" s="23" t="s">
        <v>262</v>
      </c>
      <c r="J666" s="223"/>
    </row>
    <row r="667" spans="1:10" s="144" customFormat="1" ht="12.75" x14ac:dyDescent="0.25">
      <c r="A667" s="21">
        <v>525100551</v>
      </c>
      <c r="B667" s="22" t="s">
        <v>1398</v>
      </c>
      <c r="C667" s="10" t="s">
        <v>1399</v>
      </c>
      <c r="D667" s="10">
        <v>1679</v>
      </c>
      <c r="E667" s="25">
        <v>3.2</v>
      </c>
      <c r="F667" s="10"/>
      <c r="G667" s="10"/>
      <c r="H667" s="10"/>
      <c r="I667" s="23" t="s">
        <v>39</v>
      </c>
      <c r="J667" s="223"/>
    </row>
    <row r="668" spans="1:10" s="144" customFormat="1" ht="12.75" x14ac:dyDescent="0.25">
      <c r="A668" s="21">
        <v>352001254</v>
      </c>
      <c r="B668" s="22" t="s">
        <v>1400</v>
      </c>
      <c r="C668" s="10">
        <v>183</v>
      </c>
      <c r="D668" s="10">
        <v>23235</v>
      </c>
      <c r="E668" s="10">
        <v>9.1</v>
      </c>
      <c r="F668" s="10"/>
      <c r="G668" s="10"/>
      <c r="H668" s="10"/>
      <c r="I668" s="23" t="s">
        <v>160</v>
      </c>
      <c r="J668" s="223"/>
    </row>
    <row r="669" spans="1:10" s="144" customFormat="1" ht="12.75" x14ac:dyDescent="0.25">
      <c r="A669" s="7">
        <v>525500503</v>
      </c>
      <c r="B669" s="22" t="s">
        <v>1401</v>
      </c>
      <c r="C669" s="10" t="s">
        <v>1402</v>
      </c>
      <c r="D669" s="10" t="s">
        <v>1403</v>
      </c>
      <c r="E669" s="25" t="s">
        <v>1404</v>
      </c>
      <c r="F669" s="10"/>
      <c r="G669" s="10"/>
      <c r="H669" s="10"/>
      <c r="I669" s="23" t="s">
        <v>247</v>
      </c>
      <c r="J669" s="223"/>
    </row>
    <row r="670" spans="1:10" s="144" customFormat="1" ht="12.75" x14ac:dyDescent="0.25">
      <c r="A670" s="21">
        <v>525401524</v>
      </c>
      <c r="B670" s="22" t="s">
        <v>2159</v>
      </c>
      <c r="C670" s="10" t="s">
        <v>1405</v>
      </c>
      <c r="D670" s="10" t="s">
        <v>1406</v>
      </c>
      <c r="E670" s="10" t="s">
        <v>1407</v>
      </c>
      <c r="F670" s="10"/>
      <c r="G670" s="10"/>
      <c r="H670" s="10"/>
      <c r="I670" s="23" t="s">
        <v>1976</v>
      </c>
      <c r="J670" s="223"/>
    </row>
    <row r="671" spans="1:10" s="144" customFormat="1" ht="12.75" x14ac:dyDescent="0.25">
      <c r="A671" s="7">
        <v>525019565</v>
      </c>
      <c r="B671" s="22" t="s">
        <v>1408</v>
      </c>
      <c r="C671" s="10">
        <v>114</v>
      </c>
      <c r="D671" s="10">
        <v>4667</v>
      </c>
      <c r="E671" s="25" t="s">
        <v>131</v>
      </c>
      <c r="F671" s="10"/>
      <c r="G671" s="10"/>
      <c r="H671" s="10"/>
      <c r="I671" s="23" t="s">
        <v>45</v>
      </c>
      <c r="J671" s="223"/>
    </row>
    <row r="672" spans="1:10" s="144" customFormat="1" ht="12.75" x14ac:dyDescent="0.25">
      <c r="A672" s="21">
        <v>525108018</v>
      </c>
      <c r="B672" s="22" t="s">
        <v>1409</v>
      </c>
      <c r="C672" s="10">
        <v>144</v>
      </c>
      <c r="D672" s="10">
        <v>11261</v>
      </c>
      <c r="E672" s="10">
        <v>8.4</v>
      </c>
      <c r="F672" s="10"/>
      <c r="G672" s="10"/>
      <c r="H672" s="10"/>
      <c r="I672" s="23" t="s">
        <v>96</v>
      </c>
      <c r="J672" s="223"/>
    </row>
    <row r="673" spans="1:10" s="144" customFormat="1" ht="12.75" x14ac:dyDescent="0.25">
      <c r="A673" s="21">
        <v>525500228</v>
      </c>
      <c r="B673" s="22" t="s">
        <v>5139</v>
      </c>
      <c r="C673" s="20" t="s">
        <v>5140</v>
      </c>
      <c r="D673" s="79" t="s">
        <v>5141</v>
      </c>
      <c r="E673" s="78" t="s">
        <v>4920</v>
      </c>
      <c r="F673" s="10"/>
      <c r="G673" s="10"/>
      <c r="H673" s="10"/>
      <c r="I673" s="23" t="s">
        <v>153</v>
      </c>
      <c r="J673" s="223"/>
    </row>
    <row r="674" spans="1:10" s="144" customFormat="1" ht="12.75" x14ac:dyDescent="0.25">
      <c r="A674" s="21">
        <v>525100139</v>
      </c>
      <c r="B674" s="22" t="s">
        <v>1410</v>
      </c>
      <c r="C674" s="10">
        <v>53</v>
      </c>
      <c r="D674" s="10">
        <v>318</v>
      </c>
      <c r="E674" s="10">
        <v>2.5</v>
      </c>
      <c r="F674" s="10"/>
      <c r="G674" s="10"/>
      <c r="H674" s="10"/>
      <c r="I674" s="23"/>
      <c r="J674" s="223"/>
    </row>
    <row r="675" spans="1:10" s="144" customFormat="1" ht="12.75" x14ac:dyDescent="0.25">
      <c r="A675" s="21">
        <v>525125035</v>
      </c>
      <c r="B675" s="22" t="s">
        <v>1571</v>
      </c>
      <c r="C675" s="7" t="s">
        <v>1572</v>
      </c>
      <c r="D675" s="7" t="s">
        <v>577</v>
      </c>
      <c r="E675" s="7" t="s">
        <v>1573</v>
      </c>
      <c r="F675" s="10"/>
      <c r="G675" s="10"/>
      <c r="H675" s="10"/>
      <c r="I675" s="23" t="s">
        <v>41</v>
      </c>
      <c r="J675" s="223"/>
    </row>
    <row r="676" spans="1:10" s="144" customFormat="1" ht="12.75" x14ac:dyDescent="0.25">
      <c r="A676" s="21">
        <v>525401695</v>
      </c>
      <c r="B676" s="22" t="s">
        <v>1411</v>
      </c>
      <c r="C676" s="10" t="s">
        <v>1924</v>
      </c>
      <c r="D676" s="10">
        <v>416</v>
      </c>
      <c r="E676" s="10" t="s">
        <v>126</v>
      </c>
      <c r="F676" s="10"/>
      <c r="G676" s="10"/>
      <c r="H676" s="10"/>
      <c r="I676" s="23" t="s">
        <v>183</v>
      </c>
      <c r="J676" s="223"/>
    </row>
    <row r="677" spans="1:10" s="144" customFormat="1" ht="12.75" x14ac:dyDescent="0.25">
      <c r="A677" s="7">
        <v>525301513</v>
      </c>
      <c r="B677" s="22" t="s">
        <v>3652</v>
      </c>
      <c r="C677" s="10" t="s">
        <v>3653</v>
      </c>
      <c r="D677" s="10" t="s">
        <v>3654</v>
      </c>
      <c r="E677" s="25" t="s">
        <v>3655</v>
      </c>
      <c r="F677" s="10"/>
      <c r="G677" s="10"/>
      <c r="H677" s="10"/>
      <c r="I677" s="23" t="s">
        <v>71</v>
      </c>
      <c r="J677" s="223"/>
    </row>
    <row r="678" spans="1:10" s="144" customFormat="1" ht="12.75" x14ac:dyDescent="0.25">
      <c r="A678" s="21">
        <v>525021406</v>
      </c>
      <c r="B678" s="22" t="s">
        <v>1412</v>
      </c>
      <c r="C678" s="10">
        <v>98.17</v>
      </c>
      <c r="D678" s="10">
        <v>5532</v>
      </c>
      <c r="E678" s="10">
        <v>6.5</v>
      </c>
      <c r="F678" s="10"/>
      <c r="G678" s="10"/>
      <c r="H678" s="10"/>
      <c r="I678" s="23" t="s">
        <v>1036</v>
      </c>
      <c r="J678" s="223"/>
    </row>
    <row r="679" spans="1:10" s="144" customFormat="1" ht="12.75" x14ac:dyDescent="0.25">
      <c r="A679" s="21">
        <v>525800739</v>
      </c>
      <c r="B679" s="22" t="s">
        <v>1416</v>
      </c>
      <c r="C679" s="10" t="s">
        <v>1414</v>
      </c>
      <c r="D679" s="10" t="s">
        <v>1413</v>
      </c>
      <c r="E679" s="25" t="s">
        <v>1673</v>
      </c>
      <c r="F679" s="10"/>
      <c r="G679" s="10"/>
      <c r="H679" s="10"/>
      <c r="I679" s="23" t="s">
        <v>245</v>
      </c>
      <c r="J679" s="223"/>
    </row>
    <row r="680" spans="1:10" s="144" customFormat="1" ht="12.75" x14ac:dyDescent="0.2">
      <c r="A680" s="60">
        <v>525020090</v>
      </c>
      <c r="B680" s="22" t="s">
        <v>1415</v>
      </c>
      <c r="C680" s="25" t="s">
        <v>5308</v>
      </c>
      <c r="D680" s="25" t="s">
        <v>1741</v>
      </c>
      <c r="E680" s="25" t="s">
        <v>476</v>
      </c>
      <c r="F680" s="47"/>
      <c r="G680" s="47"/>
      <c r="H680" s="47"/>
      <c r="I680" s="26" t="s">
        <v>150</v>
      </c>
      <c r="J680" s="223"/>
    </row>
    <row r="681" spans="1:10" s="144" customFormat="1" ht="12.75" x14ac:dyDescent="0.2">
      <c r="A681" s="60">
        <v>525024276</v>
      </c>
      <c r="B681" s="46" t="s">
        <v>1417</v>
      </c>
      <c r="C681" s="25" t="s">
        <v>1418</v>
      </c>
      <c r="D681" s="25" t="s">
        <v>1419</v>
      </c>
      <c r="E681" s="25" t="s">
        <v>1420</v>
      </c>
      <c r="F681" s="47"/>
      <c r="G681" s="47"/>
      <c r="H681" s="47"/>
      <c r="I681" s="26" t="s">
        <v>46</v>
      </c>
      <c r="J681" s="223"/>
    </row>
    <row r="682" spans="1:10" s="144" customFormat="1" ht="12.75" x14ac:dyDescent="0.2">
      <c r="A682" s="60">
        <v>636021614</v>
      </c>
      <c r="B682" s="68" t="s">
        <v>1424</v>
      </c>
      <c r="C682" s="7">
        <v>208.3</v>
      </c>
      <c r="D682" s="7">
        <v>25703</v>
      </c>
      <c r="E682" s="7">
        <v>10</v>
      </c>
      <c r="F682" s="71"/>
      <c r="G682" s="71"/>
      <c r="H682" s="71"/>
      <c r="I682" s="71" t="s">
        <v>1381</v>
      </c>
      <c r="J682" s="223"/>
    </row>
    <row r="683" spans="1:10" s="144" customFormat="1" ht="12.75" x14ac:dyDescent="0.25">
      <c r="A683" s="7">
        <v>525400756</v>
      </c>
      <c r="B683" s="68" t="s">
        <v>1426</v>
      </c>
      <c r="C683" s="7" t="s">
        <v>1427</v>
      </c>
      <c r="D683" s="7" t="s">
        <v>1428</v>
      </c>
      <c r="E683" s="7" t="s">
        <v>1429</v>
      </c>
      <c r="F683" s="71"/>
      <c r="G683" s="71"/>
      <c r="H683" s="71"/>
      <c r="I683" s="71" t="s">
        <v>92</v>
      </c>
      <c r="J683" s="223"/>
    </row>
    <row r="684" spans="1:10" s="144" customFormat="1" ht="12.75" x14ac:dyDescent="0.25">
      <c r="A684" s="7">
        <v>538009842</v>
      </c>
      <c r="B684" s="68" t="s">
        <v>1430</v>
      </c>
      <c r="C684" s="7">
        <v>229.9</v>
      </c>
      <c r="D684" s="7">
        <v>49228</v>
      </c>
      <c r="E684" s="7">
        <v>8.35</v>
      </c>
      <c r="F684" s="71"/>
      <c r="G684" s="71"/>
      <c r="H684" s="71"/>
      <c r="I684" s="71" t="s">
        <v>920</v>
      </c>
      <c r="J684" s="223"/>
    </row>
    <row r="685" spans="1:10" s="144" customFormat="1" ht="12.75" x14ac:dyDescent="0.25">
      <c r="A685" s="7">
        <v>525003646</v>
      </c>
      <c r="B685" s="68" t="s">
        <v>1431</v>
      </c>
      <c r="C685" s="7" t="s">
        <v>1433</v>
      </c>
      <c r="D685" s="7" t="s">
        <v>1434</v>
      </c>
      <c r="E685" s="7" t="s">
        <v>1436</v>
      </c>
      <c r="F685" s="71"/>
      <c r="G685" s="71"/>
      <c r="H685" s="71"/>
      <c r="I685" s="71" t="s">
        <v>1432</v>
      </c>
      <c r="J685" s="223"/>
    </row>
    <row r="686" spans="1:10" s="144" customFormat="1" ht="12.75" x14ac:dyDescent="0.25">
      <c r="A686" s="7">
        <v>353587000</v>
      </c>
      <c r="B686" s="68" t="s">
        <v>1435</v>
      </c>
      <c r="C686" s="7">
        <v>124</v>
      </c>
      <c r="D686" s="83">
        <v>7250</v>
      </c>
      <c r="E686" s="7">
        <v>4.8</v>
      </c>
      <c r="F686" s="71"/>
      <c r="G686" s="71"/>
      <c r="H686" s="71"/>
      <c r="I686" s="71" t="s">
        <v>920</v>
      </c>
      <c r="J686" s="223"/>
    </row>
    <row r="687" spans="1:10" s="144" customFormat="1" ht="12.75" x14ac:dyDescent="0.25">
      <c r="A687" s="7">
        <v>525022145</v>
      </c>
      <c r="B687" s="68" t="s">
        <v>1437</v>
      </c>
      <c r="C687" s="7">
        <v>77</v>
      </c>
      <c r="D687" s="7">
        <v>1784</v>
      </c>
      <c r="E687" s="7" t="s">
        <v>164</v>
      </c>
      <c r="F687" s="71"/>
      <c r="G687" s="71"/>
      <c r="H687" s="71"/>
      <c r="I687" s="71" t="s">
        <v>39</v>
      </c>
      <c r="J687" s="223"/>
    </row>
    <row r="688" spans="1:10" s="144" customFormat="1" ht="12.75" x14ac:dyDescent="0.25">
      <c r="A688" s="7">
        <v>525022027</v>
      </c>
      <c r="B688" s="68" t="s">
        <v>1438</v>
      </c>
      <c r="C688" s="102">
        <v>62</v>
      </c>
      <c r="D688" s="92">
        <v>985</v>
      </c>
      <c r="E688" s="93">
        <v>4</v>
      </c>
      <c r="F688" s="71"/>
      <c r="G688" s="71"/>
      <c r="H688" s="71"/>
      <c r="I688" s="71" t="s">
        <v>150</v>
      </c>
      <c r="J688" s="223"/>
    </row>
    <row r="689" spans="1:10" s="144" customFormat="1" ht="12.75" x14ac:dyDescent="0.25">
      <c r="A689" s="7">
        <v>538010192</v>
      </c>
      <c r="B689" s="68" t="s">
        <v>1439</v>
      </c>
      <c r="C689" s="7">
        <v>228</v>
      </c>
      <c r="D689" s="7">
        <v>43672</v>
      </c>
      <c r="E689" s="7">
        <v>8.8000000000000007</v>
      </c>
      <c r="F689" s="71"/>
      <c r="G689" s="71"/>
      <c r="H689" s="71"/>
      <c r="I689" s="71" t="s">
        <v>71</v>
      </c>
      <c r="J689" s="223"/>
    </row>
    <row r="690" spans="1:10" s="144" customFormat="1" ht="12.75" x14ac:dyDescent="0.25">
      <c r="A690" s="7">
        <v>372546000</v>
      </c>
      <c r="B690" s="18" t="s">
        <v>1440</v>
      </c>
      <c r="C690" s="7">
        <v>135</v>
      </c>
      <c r="D690" s="7">
        <v>11947</v>
      </c>
      <c r="E690" s="20" t="s">
        <v>104</v>
      </c>
      <c r="F690" s="7"/>
      <c r="G690" s="7"/>
      <c r="H690" s="7"/>
      <c r="I690" s="7" t="s">
        <v>273</v>
      </c>
      <c r="J690" s="223"/>
    </row>
    <row r="691" spans="1:10" s="144" customFormat="1" ht="12.75" x14ac:dyDescent="0.25">
      <c r="A691" s="7">
        <v>538006949</v>
      </c>
      <c r="B691" s="68" t="s">
        <v>1441</v>
      </c>
      <c r="C691" s="7">
        <v>188</v>
      </c>
      <c r="D691" s="7">
        <v>31094</v>
      </c>
      <c r="E691" s="7">
        <v>9.6</v>
      </c>
      <c r="F691" s="71"/>
      <c r="G691" s="71"/>
      <c r="H691" s="71"/>
      <c r="I691" s="71" t="s">
        <v>259</v>
      </c>
      <c r="J691" s="223"/>
    </row>
    <row r="692" spans="1:10" s="144" customFormat="1" ht="12.75" x14ac:dyDescent="0.25">
      <c r="A692" s="7">
        <v>215626000</v>
      </c>
      <c r="B692" s="68" t="s">
        <v>1442</v>
      </c>
      <c r="C692" s="7">
        <v>186.4</v>
      </c>
      <c r="D692" s="7">
        <v>22744</v>
      </c>
      <c r="E692" s="7">
        <v>8.5</v>
      </c>
      <c r="F692" s="71"/>
      <c r="G692" s="71"/>
      <c r="H692" s="71"/>
      <c r="I692" s="71" t="s">
        <v>150</v>
      </c>
      <c r="J692" s="223"/>
    </row>
    <row r="693" spans="1:10" s="144" customFormat="1" ht="12.75" x14ac:dyDescent="0.25">
      <c r="A693" s="7">
        <v>525006336</v>
      </c>
      <c r="B693" s="68" t="s">
        <v>1443</v>
      </c>
      <c r="C693" s="7" t="s">
        <v>1444</v>
      </c>
      <c r="D693" s="7" t="s">
        <v>1044</v>
      </c>
      <c r="E693" s="98" t="s">
        <v>1446</v>
      </c>
      <c r="F693" s="71"/>
      <c r="G693" s="71"/>
      <c r="H693" s="71"/>
      <c r="I693" s="71" t="s">
        <v>353</v>
      </c>
      <c r="J693" s="223"/>
    </row>
    <row r="694" spans="1:10" s="144" customFormat="1" ht="12.75" x14ac:dyDescent="0.25">
      <c r="A694" s="7">
        <v>525007033</v>
      </c>
      <c r="B694" s="68" t="s">
        <v>1445</v>
      </c>
      <c r="C694" s="7">
        <v>99.9</v>
      </c>
      <c r="D694" s="7">
        <v>4883</v>
      </c>
      <c r="E694" s="7">
        <v>5.6</v>
      </c>
      <c r="F694" s="71"/>
      <c r="G694" s="71"/>
      <c r="H694" s="71"/>
      <c r="I694" s="71" t="s">
        <v>96</v>
      </c>
      <c r="J694" s="223"/>
    </row>
    <row r="695" spans="1:10" s="144" customFormat="1" ht="12.75" x14ac:dyDescent="0.25">
      <c r="A695" s="7">
        <v>525022087</v>
      </c>
      <c r="B695" s="68" t="s">
        <v>1447</v>
      </c>
      <c r="C695" s="7" t="s">
        <v>1449</v>
      </c>
      <c r="D695" s="7" t="s">
        <v>1450</v>
      </c>
      <c r="E695" s="7" t="s">
        <v>711</v>
      </c>
      <c r="F695" s="71"/>
      <c r="G695" s="71"/>
      <c r="H695" s="71"/>
      <c r="I695" s="71" t="s">
        <v>1448</v>
      </c>
      <c r="J695" s="223"/>
    </row>
    <row r="696" spans="1:10" s="144" customFormat="1" ht="12.75" x14ac:dyDescent="0.25">
      <c r="A696" s="7">
        <v>525101310</v>
      </c>
      <c r="B696" s="68" t="s">
        <v>1451</v>
      </c>
      <c r="C696" s="7" t="s">
        <v>920</v>
      </c>
      <c r="D696" s="7" t="s">
        <v>920</v>
      </c>
      <c r="E696" s="7" t="s">
        <v>920</v>
      </c>
      <c r="F696" s="71"/>
      <c r="G696" s="71"/>
      <c r="H696" s="71"/>
      <c r="I696" s="71" t="s">
        <v>920</v>
      </c>
      <c r="J696" s="223"/>
    </row>
    <row r="697" spans="1:10" s="144" customFormat="1" ht="12.75" x14ac:dyDescent="0.25">
      <c r="A697" s="7">
        <v>525007203</v>
      </c>
      <c r="B697" s="22" t="s">
        <v>1452</v>
      </c>
      <c r="C697" s="10" t="s">
        <v>1453</v>
      </c>
      <c r="D697" s="10" t="s">
        <v>1454</v>
      </c>
      <c r="E697" s="25" t="s">
        <v>1455</v>
      </c>
      <c r="F697" s="10"/>
      <c r="G697" s="10"/>
      <c r="H697" s="10"/>
      <c r="I697" s="23" t="s">
        <v>353</v>
      </c>
      <c r="J697" s="223"/>
    </row>
    <row r="698" spans="1:10" s="144" customFormat="1" ht="12.75" x14ac:dyDescent="0.25">
      <c r="A698" s="7">
        <v>525008094</v>
      </c>
      <c r="B698" s="68" t="s">
        <v>1456</v>
      </c>
      <c r="C698" s="79">
        <v>107</v>
      </c>
      <c r="D698" s="10">
        <v>5036</v>
      </c>
      <c r="E698" s="78">
        <v>4.3</v>
      </c>
      <c r="F698" s="71"/>
      <c r="G698" s="71"/>
      <c r="H698" s="71"/>
      <c r="I698" s="71" t="s">
        <v>96</v>
      </c>
      <c r="J698" s="223"/>
    </row>
    <row r="699" spans="1:10" s="144" customFormat="1" ht="12.75" x14ac:dyDescent="0.25">
      <c r="A699" s="7">
        <v>352898769</v>
      </c>
      <c r="B699" s="68" t="s">
        <v>1457</v>
      </c>
      <c r="C699" s="103">
        <v>118</v>
      </c>
      <c r="D699" s="104">
        <v>5533</v>
      </c>
      <c r="E699" s="95">
        <v>4.8</v>
      </c>
      <c r="F699" s="71"/>
      <c r="G699" s="71"/>
      <c r="H699" s="71"/>
      <c r="I699" s="7" t="s">
        <v>71</v>
      </c>
      <c r="J699" s="223"/>
    </row>
    <row r="700" spans="1:10" s="144" customFormat="1" ht="12.75" x14ac:dyDescent="0.25">
      <c r="A700" s="7">
        <v>525018038</v>
      </c>
      <c r="B700" s="22" t="s">
        <v>1458</v>
      </c>
      <c r="C700" s="10" t="s">
        <v>452</v>
      </c>
      <c r="D700" s="10" t="s">
        <v>1700</v>
      </c>
      <c r="E700" s="25" t="s">
        <v>1923</v>
      </c>
      <c r="F700" s="10"/>
      <c r="G700" s="10"/>
      <c r="H700" s="10"/>
      <c r="I700" s="23" t="s">
        <v>71</v>
      </c>
      <c r="J700" s="223"/>
    </row>
    <row r="701" spans="1:10" s="144" customFormat="1" ht="12.75" x14ac:dyDescent="0.25">
      <c r="A701" s="7">
        <v>525007017</v>
      </c>
      <c r="B701" s="18" t="s">
        <v>1459</v>
      </c>
      <c r="C701" s="7">
        <v>99.9</v>
      </c>
      <c r="D701" s="7">
        <v>3835</v>
      </c>
      <c r="E701" s="7">
        <v>4.7</v>
      </c>
      <c r="F701" s="71"/>
      <c r="G701" s="71"/>
      <c r="H701" s="71"/>
      <c r="I701" s="7" t="s">
        <v>1460</v>
      </c>
      <c r="J701" s="223"/>
    </row>
    <row r="702" spans="1:10" s="144" customFormat="1" ht="12.75" x14ac:dyDescent="0.25">
      <c r="A702" s="7">
        <v>477832600</v>
      </c>
      <c r="B702" s="18" t="s">
        <v>1461</v>
      </c>
      <c r="C702" s="7">
        <v>225</v>
      </c>
      <c r="D702" s="7">
        <v>42114</v>
      </c>
      <c r="E702" s="7">
        <v>8.5</v>
      </c>
      <c r="F702" s="71"/>
      <c r="G702" s="71"/>
      <c r="H702" s="71"/>
      <c r="I702" s="7" t="s">
        <v>273</v>
      </c>
      <c r="J702" s="223"/>
    </row>
    <row r="703" spans="1:10" s="144" customFormat="1" ht="12.75" x14ac:dyDescent="0.25">
      <c r="A703" s="7">
        <v>352787000</v>
      </c>
      <c r="B703" s="68" t="s">
        <v>1462</v>
      </c>
      <c r="C703" s="7">
        <v>189</v>
      </c>
      <c r="D703" s="7">
        <v>32370</v>
      </c>
      <c r="E703" s="7">
        <v>6</v>
      </c>
      <c r="F703" s="71"/>
      <c r="G703" s="71"/>
      <c r="H703" s="71"/>
      <c r="I703" s="7" t="s">
        <v>262</v>
      </c>
      <c r="J703" s="223"/>
    </row>
    <row r="704" spans="1:10" s="144" customFormat="1" ht="12.75" x14ac:dyDescent="0.25">
      <c r="A704" s="7">
        <v>525012206</v>
      </c>
      <c r="B704" s="18" t="s">
        <v>1463</v>
      </c>
      <c r="C704" s="7" t="s">
        <v>1464</v>
      </c>
      <c r="D704" s="7" t="s">
        <v>1465</v>
      </c>
      <c r="E704" s="7" t="s">
        <v>669</v>
      </c>
      <c r="F704" s="71"/>
      <c r="G704" s="71"/>
      <c r="H704" s="71"/>
      <c r="I704" s="7" t="s">
        <v>39</v>
      </c>
      <c r="J704" s="223"/>
    </row>
    <row r="705" spans="1:10" s="144" customFormat="1" ht="12.75" x14ac:dyDescent="0.25">
      <c r="A705" s="7">
        <v>257142000</v>
      </c>
      <c r="B705" s="68" t="s">
        <v>1466</v>
      </c>
      <c r="C705" s="7">
        <v>182</v>
      </c>
      <c r="D705" s="7">
        <v>27526</v>
      </c>
      <c r="E705" s="7">
        <v>7.6</v>
      </c>
      <c r="F705" s="71"/>
      <c r="G705" s="71"/>
      <c r="H705" s="71"/>
      <c r="I705" s="71" t="s">
        <v>920</v>
      </c>
      <c r="J705" s="223"/>
    </row>
    <row r="706" spans="1:10" s="144" customFormat="1" ht="12.75" x14ac:dyDescent="0.25">
      <c r="A706" s="7">
        <v>525006214</v>
      </c>
      <c r="B706" s="68" t="s">
        <v>1467</v>
      </c>
      <c r="C706" s="7" t="s">
        <v>1468</v>
      </c>
      <c r="D706" s="7" t="s">
        <v>1469</v>
      </c>
      <c r="E706" s="7" t="s">
        <v>1470</v>
      </c>
      <c r="F706" s="71"/>
      <c r="G706" s="71"/>
      <c r="H706" s="71"/>
      <c r="I706" s="71" t="s">
        <v>39</v>
      </c>
      <c r="J706" s="223"/>
    </row>
    <row r="707" spans="1:10" s="144" customFormat="1" ht="12.75" x14ac:dyDescent="0.25">
      <c r="A707" s="7">
        <v>525101627</v>
      </c>
      <c r="B707" s="68" t="s">
        <v>1471</v>
      </c>
      <c r="C707" s="7" t="s">
        <v>1472</v>
      </c>
      <c r="D707" s="7" t="s">
        <v>1473</v>
      </c>
      <c r="E707" s="7" t="s">
        <v>1475</v>
      </c>
      <c r="F707" s="71"/>
      <c r="G707" s="71"/>
      <c r="H707" s="71"/>
      <c r="I707" s="71" t="s">
        <v>245</v>
      </c>
      <c r="J707" s="223"/>
    </row>
    <row r="708" spans="1:10" s="144" customFormat="1" ht="12.75" x14ac:dyDescent="0.25">
      <c r="A708" s="7">
        <v>525006291</v>
      </c>
      <c r="B708" s="68" t="s">
        <v>1474</v>
      </c>
      <c r="C708" s="7">
        <v>51.36</v>
      </c>
      <c r="D708" s="7">
        <v>648</v>
      </c>
      <c r="E708" s="7">
        <v>4</v>
      </c>
      <c r="F708" s="71"/>
      <c r="G708" s="71"/>
      <c r="H708" s="71"/>
      <c r="I708" s="71" t="s">
        <v>1036</v>
      </c>
      <c r="J708" s="223"/>
    </row>
    <row r="709" spans="1:10" s="144" customFormat="1" ht="12.75" x14ac:dyDescent="0.25">
      <c r="A709" s="7">
        <v>525200308</v>
      </c>
      <c r="B709" s="22" t="s">
        <v>1476</v>
      </c>
      <c r="C709" s="10" t="s">
        <v>1074</v>
      </c>
      <c r="D709" s="10" t="s">
        <v>1477</v>
      </c>
      <c r="E709" s="25" t="s">
        <v>1353</v>
      </c>
      <c r="F709" s="10"/>
      <c r="G709" s="10"/>
      <c r="H709" s="10"/>
      <c r="I709" s="23" t="s">
        <v>353</v>
      </c>
      <c r="J709" s="223"/>
    </row>
    <row r="710" spans="1:10" s="144" customFormat="1" ht="12.75" x14ac:dyDescent="0.25">
      <c r="A710" s="7">
        <v>351268000</v>
      </c>
      <c r="B710" s="68" t="s">
        <v>1478</v>
      </c>
      <c r="C710" s="7">
        <v>242.81</v>
      </c>
      <c r="D710" s="7">
        <v>37398</v>
      </c>
      <c r="E710" s="7">
        <v>11.05</v>
      </c>
      <c r="F710" s="71"/>
      <c r="G710" s="71"/>
      <c r="H710" s="71"/>
      <c r="I710" s="71" t="s">
        <v>920</v>
      </c>
      <c r="J710" s="223"/>
    </row>
    <row r="711" spans="1:10" s="144" customFormat="1" ht="12.75" x14ac:dyDescent="0.25">
      <c r="A711" s="7">
        <v>525114041</v>
      </c>
      <c r="B711" s="68" t="s">
        <v>1479</v>
      </c>
      <c r="C711" s="7">
        <v>160</v>
      </c>
      <c r="D711" s="7">
        <v>13960</v>
      </c>
      <c r="E711" s="7" t="s">
        <v>795</v>
      </c>
      <c r="F711" s="71"/>
      <c r="G711" s="71"/>
      <c r="H711" s="71"/>
      <c r="I711" s="71" t="s">
        <v>96</v>
      </c>
      <c r="J711" s="223"/>
    </row>
    <row r="712" spans="1:10" s="144" customFormat="1" ht="12.75" x14ac:dyDescent="0.25">
      <c r="A712" s="7">
        <v>477493800</v>
      </c>
      <c r="B712" s="68" t="s">
        <v>1480</v>
      </c>
      <c r="C712" s="7">
        <v>190</v>
      </c>
      <c r="D712" s="7">
        <v>33044</v>
      </c>
      <c r="E712" s="7">
        <v>12.2</v>
      </c>
      <c r="F712" s="71"/>
      <c r="G712" s="71"/>
      <c r="H712" s="71"/>
      <c r="I712" s="71" t="s">
        <v>262</v>
      </c>
      <c r="J712" s="223"/>
    </row>
    <row r="713" spans="1:10" s="144" customFormat="1" ht="12.75" x14ac:dyDescent="0.25">
      <c r="A713" s="7">
        <v>525025046</v>
      </c>
      <c r="B713" s="22" t="s">
        <v>1481</v>
      </c>
      <c r="C713" s="10" t="s">
        <v>1482</v>
      </c>
      <c r="D713" s="10" t="s">
        <v>557</v>
      </c>
      <c r="E713" s="25" t="s">
        <v>3842</v>
      </c>
      <c r="F713" s="10"/>
      <c r="G713" s="10"/>
      <c r="H713" s="10"/>
      <c r="I713" s="23" t="s">
        <v>41</v>
      </c>
      <c r="J713" s="223"/>
    </row>
    <row r="714" spans="1:10" s="144" customFormat="1" ht="12.75" x14ac:dyDescent="0.25">
      <c r="A714" s="7">
        <v>525016658</v>
      </c>
      <c r="B714" s="22" t="s">
        <v>1483</v>
      </c>
      <c r="C714" s="10" t="s">
        <v>1484</v>
      </c>
      <c r="D714" s="10">
        <v>3465</v>
      </c>
      <c r="E714" s="25" t="s">
        <v>766</v>
      </c>
      <c r="F714" s="10"/>
      <c r="G714" s="10"/>
      <c r="H714" s="10"/>
      <c r="I714" s="23" t="s">
        <v>96</v>
      </c>
      <c r="J714" s="223"/>
    </row>
    <row r="715" spans="1:10" s="144" customFormat="1" ht="12.75" x14ac:dyDescent="0.25">
      <c r="A715" s="7">
        <v>525012357</v>
      </c>
      <c r="B715" s="68" t="s">
        <v>1493</v>
      </c>
      <c r="C715" s="7">
        <v>91</v>
      </c>
      <c r="D715" s="7">
        <v>2630</v>
      </c>
      <c r="E715" s="7">
        <v>3</v>
      </c>
      <c r="F715" s="71"/>
      <c r="G715" s="71"/>
      <c r="H715" s="71"/>
      <c r="I715" s="71" t="s">
        <v>43</v>
      </c>
      <c r="J715" s="223"/>
    </row>
    <row r="716" spans="1:10" s="144" customFormat="1" ht="12.75" x14ac:dyDescent="0.25">
      <c r="A716" s="7">
        <v>371874000</v>
      </c>
      <c r="B716" s="68" t="s">
        <v>1488</v>
      </c>
      <c r="C716" s="7">
        <v>181</v>
      </c>
      <c r="D716" s="7">
        <v>18597</v>
      </c>
      <c r="E716" s="7">
        <v>6.1</v>
      </c>
      <c r="F716" s="71"/>
      <c r="G716" s="71"/>
      <c r="H716" s="71"/>
      <c r="I716" s="71" t="s">
        <v>273</v>
      </c>
      <c r="J716" s="223"/>
    </row>
    <row r="717" spans="1:10" s="144" customFormat="1" ht="12.75" x14ac:dyDescent="0.25">
      <c r="A717" s="7">
        <v>525006403</v>
      </c>
      <c r="B717" s="68" t="s">
        <v>1496</v>
      </c>
      <c r="C717" s="7">
        <v>86.4</v>
      </c>
      <c r="D717" s="7">
        <v>2957</v>
      </c>
      <c r="E717" s="7">
        <v>5.0999999999999996</v>
      </c>
      <c r="F717" s="71"/>
      <c r="G717" s="71"/>
      <c r="H717" s="71"/>
      <c r="I717" s="71" t="s">
        <v>165</v>
      </c>
      <c r="J717" s="223"/>
    </row>
    <row r="718" spans="1:10" s="144" customFormat="1" ht="12.75" x14ac:dyDescent="0.25">
      <c r="A718" s="7">
        <v>525005121</v>
      </c>
      <c r="B718" s="68" t="s">
        <v>1492</v>
      </c>
      <c r="C718" s="7" t="s">
        <v>1070</v>
      </c>
      <c r="D718" s="7" t="s">
        <v>1489</v>
      </c>
      <c r="E718" s="7" t="s">
        <v>1490</v>
      </c>
      <c r="F718" s="71"/>
      <c r="G718" s="71"/>
      <c r="H718" s="71"/>
      <c r="I718" s="71" t="s">
        <v>246</v>
      </c>
      <c r="J718" s="223"/>
    </row>
    <row r="719" spans="1:10" s="144" customFormat="1" ht="12.75" x14ac:dyDescent="0.25">
      <c r="A719" s="7">
        <v>219982000</v>
      </c>
      <c r="B719" s="22" t="s">
        <v>1491</v>
      </c>
      <c r="C719" s="10">
        <v>216</v>
      </c>
      <c r="D719" s="10">
        <v>30166</v>
      </c>
      <c r="E719" s="25">
        <v>10.9</v>
      </c>
      <c r="F719" s="10"/>
      <c r="G719" s="10"/>
      <c r="H719" s="10"/>
      <c r="I719" s="23" t="s">
        <v>268</v>
      </c>
      <c r="J719" s="223"/>
    </row>
    <row r="720" spans="1:10" s="144" customFormat="1" ht="12.75" x14ac:dyDescent="0.25">
      <c r="A720" s="7">
        <v>370194000</v>
      </c>
      <c r="B720" s="68" t="s">
        <v>1494</v>
      </c>
      <c r="C720" s="7">
        <v>289</v>
      </c>
      <c r="D720" s="7">
        <v>89603</v>
      </c>
      <c r="E720" s="7">
        <v>12.77</v>
      </c>
      <c r="F720" s="71"/>
      <c r="G720" s="71"/>
      <c r="H720" s="71"/>
      <c r="I720" s="71" t="s">
        <v>154</v>
      </c>
      <c r="J720" s="223"/>
    </row>
    <row r="721" spans="1:10" s="144" customFormat="1" ht="12.75" x14ac:dyDescent="0.25">
      <c r="A721" s="7">
        <v>636021660</v>
      </c>
      <c r="B721" s="68" t="s">
        <v>1495</v>
      </c>
      <c r="C721" s="93">
        <v>229</v>
      </c>
      <c r="D721" s="7">
        <v>44163</v>
      </c>
      <c r="E721" s="7">
        <v>13.5</v>
      </c>
      <c r="F721" s="71"/>
      <c r="G721" s="71"/>
      <c r="H721" s="71"/>
      <c r="I721" s="71" t="s">
        <v>273</v>
      </c>
      <c r="J721" s="223"/>
    </row>
    <row r="722" spans="1:10" s="144" customFormat="1" ht="12.75" x14ac:dyDescent="0.2">
      <c r="A722" s="60">
        <v>525100651</v>
      </c>
      <c r="B722" s="18" t="s">
        <v>3028</v>
      </c>
      <c r="C722" s="7" t="s">
        <v>1070</v>
      </c>
      <c r="D722" s="7" t="s">
        <v>1082</v>
      </c>
      <c r="E722" s="7" t="s">
        <v>1497</v>
      </c>
      <c r="F722" s="71"/>
      <c r="G722" s="71"/>
      <c r="H722" s="71"/>
      <c r="I722" s="7" t="s">
        <v>46</v>
      </c>
      <c r="J722" s="223"/>
    </row>
    <row r="723" spans="1:10" s="144" customFormat="1" ht="12.75" x14ac:dyDescent="0.25">
      <c r="A723" s="7">
        <v>352001953</v>
      </c>
      <c r="B723" s="22" t="s">
        <v>1498</v>
      </c>
      <c r="C723" s="10">
        <v>128</v>
      </c>
      <c r="D723" s="10">
        <v>8388</v>
      </c>
      <c r="E723" s="25" t="s">
        <v>112</v>
      </c>
      <c r="F723" s="10"/>
      <c r="G723" s="10"/>
      <c r="H723" s="10"/>
      <c r="I723" s="23" t="s">
        <v>71</v>
      </c>
      <c r="J723" s="223"/>
    </row>
    <row r="724" spans="1:10" s="144" customFormat="1" ht="12.75" x14ac:dyDescent="0.25">
      <c r="A724" s="7">
        <v>574001380</v>
      </c>
      <c r="B724" s="68" t="s">
        <v>1499</v>
      </c>
      <c r="C724" s="7">
        <v>190</v>
      </c>
      <c r="D724" s="7">
        <v>32614</v>
      </c>
      <c r="E724" s="7">
        <v>10.5</v>
      </c>
      <c r="F724" s="71"/>
      <c r="G724" s="71"/>
      <c r="H724" s="71"/>
      <c r="I724" s="71" t="s">
        <v>262</v>
      </c>
      <c r="J724" s="223"/>
    </row>
    <row r="725" spans="1:10" s="144" customFormat="1" ht="12.75" x14ac:dyDescent="0.25">
      <c r="A725" s="7">
        <v>525500817</v>
      </c>
      <c r="B725" s="68" t="s">
        <v>1500</v>
      </c>
      <c r="C725" s="7">
        <v>60</v>
      </c>
      <c r="D725" s="7" t="s">
        <v>920</v>
      </c>
      <c r="E725" s="7" t="s">
        <v>920</v>
      </c>
      <c r="F725" s="71"/>
      <c r="G725" s="71"/>
      <c r="H725" s="71"/>
      <c r="I725" s="71" t="s">
        <v>920</v>
      </c>
      <c r="J725" s="223"/>
    </row>
    <row r="726" spans="1:10" s="144" customFormat="1" ht="12.75" x14ac:dyDescent="0.25">
      <c r="A726" s="7">
        <v>525023377</v>
      </c>
      <c r="B726" s="68" t="s">
        <v>1501</v>
      </c>
      <c r="C726" s="7" t="s">
        <v>1502</v>
      </c>
      <c r="D726" s="7" t="s">
        <v>1044</v>
      </c>
      <c r="E726" s="7" t="s">
        <v>1503</v>
      </c>
      <c r="F726" s="71"/>
      <c r="G726" s="71"/>
      <c r="H726" s="71"/>
      <c r="I726" s="71" t="s">
        <v>353</v>
      </c>
      <c r="J726" s="223"/>
    </row>
    <row r="727" spans="1:10" s="144" customFormat="1" ht="12.75" x14ac:dyDescent="0.2">
      <c r="A727" s="60">
        <v>458945713</v>
      </c>
      <c r="B727" s="68" t="s">
        <v>1504</v>
      </c>
      <c r="C727" s="7">
        <v>100</v>
      </c>
      <c r="D727" s="7">
        <v>5380</v>
      </c>
      <c r="E727" s="7">
        <v>8</v>
      </c>
      <c r="F727" s="71"/>
      <c r="G727" s="71"/>
      <c r="H727" s="71"/>
      <c r="I727" s="71" t="s">
        <v>1036</v>
      </c>
      <c r="J727" s="223"/>
    </row>
    <row r="728" spans="1:10" s="144" customFormat="1" ht="12.75" x14ac:dyDescent="0.25">
      <c r="A728" s="7">
        <v>525003511</v>
      </c>
      <c r="B728" s="68" t="s">
        <v>1505</v>
      </c>
      <c r="C728" s="7">
        <v>190</v>
      </c>
      <c r="D728" s="7">
        <v>26586</v>
      </c>
      <c r="E728" s="7">
        <v>6.25</v>
      </c>
      <c r="F728" s="71"/>
      <c r="G728" s="71"/>
      <c r="H728" s="71"/>
      <c r="I728" s="71" t="s">
        <v>41</v>
      </c>
      <c r="J728" s="223"/>
    </row>
    <row r="729" spans="1:10" s="144" customFormat="1" ht="12.75" x14ac:dyDescent="0.25">
      <c r="A729" s="7">
        <v>525300281</v>
      </c>
      <c r="B729" s="68" t="s">
        <v>1506</v>
      </c>
      <c r="C729" s="7" t="s">
        <v>1507</v>
      </c>
      <c r="D729" s="7" t="s">
        <v>1508</v>
      </c>
      <c r="E729" s="7" t="s">
        <v>1509</v>
      </c>
      <c r="F729" s="71"/>
      <c r="G729" s="71"/>
      <c r="H729" s="71"/>
      <c r="I729" s="71" t="s">
        <v>39</v>
      </c>
      <c r="J729" s="223"/>
    </row>
    <row r="730" spans="1:10" s="144" customFormat="1" ht="12.75" x14ac:dyDescent="0.25">
      <c r="A730" s="7">
        <v>354490000</v>
      </c>
      <c r="B730" s="22" t="s">
        <v>1510</v>
      </c>
      <c r="C730" s="10">
        <v>229</v>
      </c>
      <c r="D730" s="10">
        <v>43829</v>
      </c>
      <c r="E730" s="25" t="s">
        <v>967</v>
      </c>
      <c r="F730" s="71"/>
      <c r="G730" s="71"/>
      <c r="H730" s="71"/>
      <c r="I730" s="71" t="s">
        <v>154</v>
      </c>
      <c r="J730" s="223"/>
    </row>
    <row r="731" spans="1:10" s="144" customFormat="1" ht="12.75" x14ac:dyDescent="0.25">
      <c r="A731" s="7">
        <v>525023296</v>
      </c>
      <c r="B731" s="68" t="s">
        <v>1511</v>
      </c>
      <c r="C731" s="7">
        <v>65</v>
      </c>
      <c r="D731" s="7">
        <v>1118</v>
      </c>
      <c r="E731" s="7" t="s">
        <v>109</v>
      </c>
      <c r="F731" s="71"/>
      <c r="G731" s="71"/>
      <c r="H731" s="71"/>
      <c r="I731" s="71" t="s">
        <v>1432</v>
      </c>
      <c r="J731" s="223"/>
    </row>
    <row r="732" spans="1:10" s="144" customFormat="1" ht="12.75" x14ac:dyDescent="0.25">
      <c r="A732" s="7">
        <v>538009008</v>
      </c>
      <c r="B732" s="68" t="s">
        <v>1513</v>
      </c>
      <c r="C732" s="7">
        <v>225</v>
      </c>
      <c r="D732" s="7">
        <v>39996</v>
      </c>
      <c r="E732" s="7">
        <v>6.94</v>
      </c>
      <c r="F732" s="71"/>
      <c r="G732" s="71"/>
      <c r="H732" s="71"/>
      <c r="I732" s="71" t="s">
        <v>248</v>
      </c>
      <c r="J732" s="223"/>
    </row>
    <row r="733" spans="1:10" s="144" customFormat="1" ht="12.75" x14ac:dyDescent="0.25">
      <c r="A733" s="7">
        <v>525020246</v>
      </c>
      <c r="B733" s="68" t="s">
        <v>1514</v>
      </c>
      <c r="C733" s="7" t="s">
        <v>1515</v>
      </c>
      <c r="D733" s="7" t="s">
        <v>1516</v>
      </c>
      <c r="E733" s="7" t="s">
        <v>1517</v>
      </c>
      <c r="F733" s="71"/>
      <c r="G733" s="71"/>
      <c r="H733" s="71"/>
      <c r="I733" s="71" t="s">
        <v>245</v>
      </c>
      <c r="J733" s="223"/>
    </row>
    <row r="734" spans="1:10" s="144" customFormat="1" ht="12.75" x14ac:dyDescent="0.25">
      <c r="A734" s="7">
        <v>525301525</v>
      </c>
      <c r="B734" s="18" t="s">
        <v>3871</v>
      </c>
      <c r="C734" s="7" t="s">
        <v>2892</v>
      </c>
      <c r="D734" s="7" t="s">
        <v>1561</v>
      </c>
      <c r="E734" s="7" t="s">
        <v>3872</v>
      </c>
      <c r="F734" s="71"/>
      <c r="G734" s="71"/>
      <c r="H734" s="71"/>
      <c r="I734" s="7" t="s">
        <v>71</v>
      </c>
      <c r="J734" s="223"/>
    </row>
    <row r="735" spans="1:10" s="144" customFormat="1" ht="12.75" x14ac:dyDescent="0.2">
      <c r="A735" s="20">
        <v>525015507</v>
      </c>
      <c r="B735" s="80" t="s">
        <v>1521</v>
      </c>
      <c r="C735" s="7" t="s">
        <v>1518</v>
      </c>
      <c r="D735" s="7" t="s">
        <v>1519</v>
      </c>
      <c r="E735" s="7" t="s">
        <v>1520</v>
      </c>
      <c r="F735" s="71"/>
      <c r="G735" s="71"/>
      <c r="H735" s="71"/>
      <c r="I735" s="71" t="s">
        <v>46</v>
      </c>
      <c r="J735" s="223"/>
    </row>
    <row r="736" spans="1:10" s="144" customFormat="1" ht="12.75" x14ac:dyDescent="0.2">
      <c r="A736" s="20">
        <v>525300720</v>
      </c>
      <c r="B736" s="80" t="s">
        <v>1522</v>
      </c>
      <c r="C736" s="7" t="s">
        <v>1523</v>
      </c>
      <c r="D736" s="7" t="s">
        <v>1524</v>
      </c>
      <c r="E736" s="7" t="s">
        <v>1525</v>
      </c>
      <c r="F736" s="7"/>
      <c r="G736" s="7"/>
      <c r="H736" s="7"/>
      <c r="I736" s="7" t="s">
        <v>39</v>
      </c>
      <c r="J736" s="223"/>
    </row>
    <row r="737" spans="1:10" s="144" customFormat="1" ht="12.75" x14ac:dyDescent="0.25">
      <c r="A737" s="7">
        <v>525011093</v>
      </c>
      <c r="B737" s="18" t="s">
        <v>1526</v>
      </c>
      <c r="C737" s="7">
        <v>107</v>
      </c>
      <c r="D737" s="7">
        <v>2872</v>
      </c>
      <c r="E737" s="7" t="s">
        <v>79</v>
      </c>
      <c r="F737" s="71"/>
      <c r="G737" s="71"/>
      <c r="H737" s="71"/>
      <c r="I737" s="7" t="s">
        <v>1036</v>
      </c>
      <c r="J737" s="223"/>
    </row>
    <row r="738" spans="1:10" s="144" customFormat="1" ht="12.75" x14ac:dyDescent="0.25">
      <c r="A738" s="7">
        <v>241427000</v>
      </c>
      <c r="B738" s="68" t="s">
        <v>1527</v>
      </c>
      <c r="C738" s="7">
        <v>292</v>
      </c>
      <c r="D738" s="7">
        <v>93661</v>
      </c>
      <c r="E738" s="7">
        <v>12.3</v>
      </c>
      <c r="F738" s="71"/>
      <c r="G738" s="71"/>
      <c r="H738" s="71"/>
      <c r="I738" s="71" t="s">
        <v>154</v>
      </c>
      <c r="J738" s="223"/>
    </row>
    <row r="739" spans="1:10" s="144" customFormat="1" ht="12.75" x14ac:dyDescent="0.25">
      <c r="A739" s="7">
        <v>525005002</v>
      </c>
      <c r="B739" s="68" t="s">
        <v>1528</v>
      </c>
      <c r="C739" s="7">
        <v>146</v>
      </c>
      <c r="D739" s="7">
        <v>14581</v>
      </c>
      <c r="E739" s="7">
        <v>5.8</v>
      </c>
      <c r="F739" s="71"/>
      <c r="G739" s="71"/>
      <c r="H739" s="71"/>
      <c r="I739" s="71" t="s">
        <v>1529</v>
      </c>
      <c r="J739" s="223"/>
    </row>
    <row r="740" spans="1:10" s="144" customFormat="1" ht="12.75" x14ac:dyDescent="0.25">
      <c r="A740" s="7">
        <v>525012108</v>
      </c>
      <c r="B740" s="22" t="s">
        <v>1530</v>
      </c>
      <c r="C740" s="10" t="s">
        <v>1531</v>
      </c>
      <c r="D740" s="10" t="s">
        <v>1532</v>
      </c>
      <c r="E740" s="25" t="s">
        <v>1533</v>
      </c>
      <c r="F740" s="76"/>
      <c r="G740" s="76"/>
      <c r="H740" s="76"/>
      <c r="I740" s="23" t="s">
        <v>1534</v>
      </c>
      <c r="J740" s="223"/>
    </row>
    <row r="741" spans="1:10" s="144" customFormat="1" ht="12.75" x14ac:dyDescent="0.25">
      <c r="A741" s="7">
        <v>525400536</v>
      </c>
      <c r="B741" s="22" t="s">
        <v>1535</v>
      </c>
      <c r="C741" s="10" t="s">
        <v>1536</v>
      </c>
      <c r="D741" s="10" t="s">
        <v>1537</v>
      </c>
      <c r="E741" s="25" t="s">
        <v>1712</v>
      </c>
      <c r="F741" s="76"/>
      <c r="G741" s="76"/>
      <c r="H741" s="76"/>
      <c r="I741" s="23" t="s">
        <v>245</v>
      </c>
      <c r="J741" s="223"/>
    </row>
    <row r="742" spans="1:10" s="144" customFormat="1" ht="12.75" x14ac:dyDescent="0.25">
      <c r="A742" s="10">
        <v>525011081</v>
      </c>
      <c r="B742" s="68" t="s">
        <v>1538</v>
      </c>
      <c r="C742" s="7" t="s">
        <v>1539</v>
      </c>
      <c r="D742" s="7" t="s">
        <v>1540</v>
      </c>
      <c r="E742" s="7" t="s">
        <v>1541</v>
      </c>
      <c r="F742" s="71"/>
      <c r="G742" s="71"/>
      <c r="H742" s="71"/>
      <c r="I742" s="71" t="s">
        <v>353</v>
      </c>
      <c r="J742" s="223"/>
    </row>
    <row r="743" spans="1:10" s="144" customFormat="1" ht="12.75" x14ac:dyDescent="0.25">
      <c r="A743" s="7">
        <v>525600054</v>
      </c>
      <c r="B743" s="68" t="s">
        <v>1542</v>
      </c>
      <c r="C743" s="7">
        <v>43</v>
      </c>
      <c r="D743" s="7">
        <v>478</v>
      </c>
      <c r="E743" s="7">
        <v>4.2</v>
      </c>
      <c r="F743" s="71"/>
      <c r="G743" s="71"/>
      <c r="H743" s="71"/>
      <c r="I743" s="71" t="s">
        <v>150</v>
      </c>
      <c r="J743" s="223"/>
    </row>
    <row r="744" spans="1:10" s="144" customFormat="1" ht="12.75" x14ac:dyDescent="0.25">
      <c r="A744" s="7">
        <v>525401571</v>
      </c>
      <c r="B744" s="68" t="s">
        <v>1543</v>
      </c>
      <c r="C744" s="7">
        <v>130</v>
      </c>
      <c r="D744" s="7">
        <v>7542</v>
      </c>
      <c r="E744" s="7">
        <v>3</v>
      </c>
      <c r="F744" s="71"/>
      <c r="G744" s="71"/>
      <c r="H744" s="71"/>
      <c r="I744" s="71" t="s">
        <v>41</v>
      </c>
      <c r="J744" s="223"/>
    </row>
    <row r="745" spans="1:10" s="144" customFormat="1" ht="12.75" x14ac:dyDescent="0.25">
      <c r="A745" s="7">
        <v>567478000</v>
      </c>
      <c r="B745" s="68" t="s">
        <v>1544</v>
      </c>
      <c r="C745" s="7">
        <v>123</v>
      </c>
      <c r="D745" s="7">
        <v>7295</v>
      </c>
      <c r="E745" s="7">
        <v>8.4</v>
      </c>
      <c r="F745" s="71"/>
      <c r="G745" s="71"/>
      <c r="H745" s="71"/>
      <c r="I745" s="71" t="s">
        <v>71</v>
      </c>
      <c r="J745" s="223"/>
    </row>
    <row r="746" spans="1:10" s="144" customFormat="1" ht="12.75" x14ac:dyDescent="0.25">
      <c r="A746" s="7">
        <v>355645000</v>
      </c>
      <c r="B746" s="68" t="s">
        <v>1545</v>
      </c>
      <c r="C746" s="7">
        <v>17</v>
      </c>
      <c r="D746" s="7">
        <v>9976</v>
      </c>
      <c r="E746" s="7">
        <v>5.4</v>
      </c>
      <c r="F746" s="71"/>
      <c r="G746" s="71"/>
      <c r="H746" s="71"/>
      <c r="I746" s="71" t="s">
        <v>262</v>
      </c>
      <c r="J746" s="223"/>
    </row>
    <row r="747" spans="1:10" s="144" customFormat="1" ht="12.75" x14ac:dyDescent="0.25">
      <c r="A747" s="7">
        <v>636015536</v>
      </c>
      <c r="B747" s="68" t="s">
        <v>1546</v>
      </c>
      <c r="C747" s="7">
        <v>229</v>
      </c>
      <c r="D747" s="7">
        <v>51208</v>
      </c>
      <c r="E747" s="7">
        <v>9.1</v>
      </c>
      <c r="F747" s="71"/>
      <c r="G747" s="71"/>
      <c r="H747" s="71"/>
      <c r="I747" s="7" t="s">
        <v>43</v>
      </c>
      <c r="J747" s="223"/>
    </row>
    <row r="748" spans="1:10" s="144" customFormat="1" ht="12.75" x14ac:dyDescent="0.25">
      <c r="A748" s="7">
        <v>525021300</v>
      </c>
      <c r="B748" s="68" t="s">
        <v>1547</v>
      </c>
      <c r="C748" s="7" t="s">
        <v>1548</v>
      </c>
      <c r="D748" s="7" t="s">
        <v>1549</v>
      </c>
      <c r="E748" s="7" t="s">
        <v>1550</v>
      </c>
      <c r="F748" s="71"/>
      <c r="G748" s="71"/>
      <c r="H748" s="71"/>
      <c r="I748" s="71" t="s">
        <v>65</v>
      </c>
      <c r="J748" s="223"/>
    </row>
    <row r="749" spans="1:10" s="144" customFormat="1" ht="12.75" x14ac:dyDescent="0.25">
      <c r="A749" s="7">
        <v>351849000</v>
      </c>
      <c r="B749" s="68" t="s">
        <v>1551</v>
      </c>
      <c r="C749" s="7">
        <v>169</v>
      </c>
      <c r="D749" s="7">
        <v>17009</v>
      </c>
      <c r="E749" s="7">
        <v>5.5</v>
      </c>
      <c r="F749" s="71"/>
      <c r="G749" s="71"/>
      <c r="H749" s="71"/>
      <c r="I749" s="74" t="s">
        <v>154</v>
      </c>
      <c r="J749" s="223"/>
    </row>
    <row r="750" spans="1:10" s="144" customFormat="1" ht="12.75" x14ac:dyDescent="0.25">
      <c r="A750" s="7">
        <v>477914600</v>
      </c>
      <c r="B750" s="68" t="s">
        <v>1552</v>
      </c>
      <c r="C750" s="7">
        <v>199</v>
      </c>
      <c r="D750" s="7">
        <v>37499</v>
      </c>
      <c r="E750" s="7">
        <v>8.6</v>
      </c>
      <c r="F750" s="71"/>
      <c r="G750" s="71"/>
      <c r="H750" s="71"/>
      <c r="I750" s="74" t="s">
        <v>1553</v>
      </c>
      <c r="J750" s="223"/>
    </row>
    <row r="751" spans="1:10" s="144" customFormat="1" ht="12.75" x14ac:dyDescent="0.25">
      <c r="A751" s="20">
        <v>563140500</v>
      </c>
      <c r="B751" s="18" t="s">
        <v>1554</v>
      </c>
      <c r="C751" s="7">
        <v>189</v>
      </c>
      <c r="D751" s="7">
        <v>32474</v>
      </c>
      <c r="E751" s="7" t="s">
        <v>984</v>
      </c>
      <c r="F751" s="7"/>
      <c r="G751" s="7"/>
      <c r="H751" s="7"/>
      <c r="I751" s="65" t="s">
        <v>248</v>
      </c>
      <c r="J751" s="223"/>
    </row>
    <row r="752" spans="1:10" s="144" customFormat="1" ht="12.75" x14ac:dyDescent="0.25">
      <c r="A752" s="7">
        <v>525007183</v>
      </c>
      <c r="B752" s="18" t="s">
        <v>1555</v>
      </c>
      <c r="C752" s="7">
        <v>112</v>
      </c>
      <c r="D752" s="7">
        <v>4192</v>
      </c>
      <c r="E752" s="7" t="s">
        <v>766</v>
      </c>
      <c r="F752" s="71"/>
      <c r="G752" s="71"/>
      <c r="H752" s="71"/>
      <c r="I752" s="19" t="s">
        <v>71</v>
      </c>
      <c r="J752" s="223"/>
    </row>
    <row r="753" spans="1:10" s="144" customFormat="1" ht="12.75" x14ac:dyDescent="0.25">
      <c r="A753" s="7">
        <v>440414000</v>
      </c>
      <c r="B753" s="18" t="s">
        <v>1556</v>
      </c>
      <c r="C753" s="7">
        <v>229</v>
      </c>
      <c r="D753" s="7">
        <v>43956</v>
      </c>
      <c r="E753" s="7">
        <v>7.5</v>
      </c>
      <c r="F753" s="71"/>
      <c r="G753" s="71"/>
      <c r="H753" s="71"/>
      <c r="I753" s="19" t="s">
        <v>262</v>
      </c>
      <c r="J753" s="223"/>
    </row>
    <row r="754" spans="1:10" s="144" customFormat="1" ht="12.75" x14ac:dyDescent="0.2">
      <c r="A754" s="60">
        <v>525301517</v>
      </c>
      <c r="B754" s="18" t="s">
        <v>1557</v>
      </c>
      <c r="C754" s="7" t="s">
        <v>1558</v>
      </c>
      <c r="D754" s="7" t="s">
        <v>1559</v>
      </c>
      <c r="E754" s="7" t="s">
        <v>1560</v>
      </c>
      <c r="F754" s="71"/>
      <c r="G754" s="71"/>
      <c r="H754" s="71"/>
      <c r="I754" s="19" t="s">
        <v>92</v>
      </c>
      <c r="J754" s="223"/>
    </row>
    <row r="755" spans="1:10" s="144" customFormat="1" ht="12.75" x14ac:dyDescent="0.25">
      <c r="A755" s="7">
        <v>525301507</v>
      </c>
      <c r="B755" s="22" t="s">
        <v>3897</v>
      </c>
      <c r="C755" s="10" t="s">
        <v>3898</v>
      </c>
      <c r="D755" s="10" t="s">
        <v>3899</v>
      </c>
      <c r="E755" s="25" t="s">
        <v>3195</v>
      </c>
      <c r="F755" s="10"/>
      <c r="G755" s="10"/>
      <c r="H755" s="10"/>
      <c r="I755" s="23" t="s">
        <v>71</v>
      </c>
      <c r="J755" s="223"/>
    </row>
    <row r="756" spans="1:10" s="144" customFormat="1" ht="12.75" x14ac:dyDescent="0.25">
      <c r="A756" s="7">
        <v>525012349</v>
      </c>
      <c r="B756" s="68" t="s">
        <v>1562</v>
      </c>
      <c r="C756" s="7">
        <v>210</v>
      </c>
      <c r="D756" s="7">
        <v>39737</v>
      </c>
      <c r="E756" s="7">
        <v>9.67</v>
      </c>
      <c r="F756" s="71"/>
      <c r="G756" s="71"/>
      <c r="H756" s="71"/>
      <c r="I756" s="74" t="s">
        <v>249</v>
      </c>
      <c r="J756" s="223"/>
    </row>
    <row r="757" spans="1:10" s="144" customFormat="1" ht="12.75" x14ac:dyDescent="0.25">
      <c r="A757" s="7">
        <v>525501435</v>
      </c>
      <c r="B757" s="68" t="s">
        <v>1563</v>
      </c>
      <c r="C757" s="7" t="s">
        <v>1564</v>
      </c>
      <c r="D757" s="7" t="s">
        <v>1574</v>
      </c>
      <c r="E757" s="7" t="s">
        <v>1565</v>
      </c>
      <c r="F757" s="71"/>
      <c r="G757" s="71"/>
      <c r="H757" s="71"/>
      <c r="I757" s="74" t="s">
        <v>46</v>
      </c>
      <c r="J757" s="223"/>
    </row>
    <row r="758" spans="1:10" s="144" customFormat="1" ht="12.75" x14ac:dyDescent="0.25">
      <c r="A758" s="7">
        <v>525100178</v>
      </c>
      <c r="B758" s="68" t="s">
        <v>1566</v>
      </c>
      <c r="C758" s="7" t="s">
        <v>1567</v>
      </c>
      <c r="D758" s="7" t="s">
        <v>1568</v>
      </c>
      <c r="E758" s="7" t="s">
        <v>1569</v>
      </c>
      <c r="F758" s="71"/>
      <c r="G758" s="71"/>
      <c r="H758" s="71"/>
      <c r="I758" s="74" t="s">
        <v>92</v>
      </c>
      <c r="J758" s="223"/>
    </row>
    <row r="759" spans="1:10" s="144" customFormat="1" ht="12.75" x14ac:dyDescent="0.25">
      <c r="A759" s="7">
        <v>525301449</v>
      </c>
      <c r="B759" s="68" t="s">
        <v>1570</v>
      </c>
      <c r="C759" s="7">
        <v>40</v>
      </c>
      <c r="D759" s="7">
        <v>376</v>
      </c>
      <c r="E759" s="7" t="s">
        <v>1921</v>
      </c>
      <c r="F759" s="71"/>
      <c r="G759" s="71"/>
      <c r="H759" s="71"/>
      <c r="I759" s="74" t="s">
        <v>1584</v>
      </c>
      <c r="J759" s="223"/>
    </row>
    <row r="760" spans="1:10" s="144" customFormat="1" ht="12.75" x14ac:dyDescent="0.2">
      <c r="A760" s="81">
        <v>525110002</v>
      </c>
      <c r="B760" s="18" t="s">
        <v>1576</v>
      </c>
      <c r="C760" s="7">
        <v>189</v>
      </c>
      <c r="D760" s="7">
        <v>29671</v>
      </c>
      <c r="E760" s="7" t="s">
        <v>1016</v>
      </c>
      <c r="F760" s="71"/>
      <c r="G760" s="71"/>
      <c r="H760" s="71"/>
      <c r="I760" s="19" t="s">
        <v>249</v>
      </c>
      <c r="J760" s="223"/>
    </row>
    <row r="761" spans="1:10" s="144" customFormat="1" ht="12.75" x14ac:dyDescent="0.25">
      <c r="A761" s="7">
        <v>525900428</v>
      </c>
      <c r="B761" s="18" t="s">
        <v>1577</v>
      </c>
      <c r="C761" s="7">
        <v>73.900000000000006</v>
      </c>
      <c r="D761" s="7">
        <v>1537</v>
      </c>
      <c r="E761" s="7">
        <v>1.2</v>
      </c>
      <c r="F761" s="71"/>
      <c r="G761" s="71"/>
      <c r="H761" s="71"/>
      <c r="I761" s="19" t="s">
        <v>1036</v>
      </c>
      <c r="J761" s="223"/>
    </row>
    <row r="762" spans="1:10" s="144" customFormat="1" ht="12.75" x14ac:dyDescent="0.25">
      <c r="A762" s="7">
        <v>525121005</v>
      </c>
      <c r="B762" s="22" t="s">
        <v>1578</v>
      </c>
      <c r="C762" s="10" t="s">
        <v>1579</v>
      </c>
      <c r="D762" s="10">
        <v>4277</v>
      </c>
      <c r="E762" s="25" t="s">
        <v>164</v>
      </c>
      <c r="F762" s="10"/>
      <c r="G762" s="10"/>
      <c r="H762" s="10"/>
      <c r="I762" s="23" t="s">
        <v>96</v>
      </c>
      <c r="J762" s="223"/>
    </row>
    <row r="763" spans="1:10" s="144" customFormat="1" ht="12.75" x14ac:dyDescent="0.25">
      <c r="A763" s="7">
        <v>440913000</v>
      </c>
      <c r="B763" s="68" t="s">
        <v>1580</v>
      </c>
      <c r="C763" s="7">
        <v>229</v>
      </c>
      <c r="D763" s="7">
        <v>43956</v>
      </c>
      <c r="E763" s="7">
        <v>7.39</v>
      </c>
      <c r="F763" s="71"/>
      <c r="G763" s="71"/>
      <c r="H763" s="71"/>
      <c r="I763" s="19" t="s">
        <v>262</v>
      </c>
      <c r="J763" s="223"/>
    </row>
    <row r="764" spans="1:10" s="144" customFormat="1" ht="12.75" x14ac:dyDescent="0.25">
      <c r="A764" s="7">
        <v>538006035</v>
      </c>
      <c r="B764" s="68" t="s">
        <v>1581</v>
      </c>
      <c r="C764" s="7">
        <v>200</v>
      </c>
      <c r="D764" s="7">
        <v>36415</v>
      </c>
      <c r="E764" s="7">
        <v>6.7</v>
      </c>
      <c r="F764" s="71"/>
      <c r="G764" s="71"/>
      <c r="H764" s="71"/>
      <c r="I764" s="74" t="s">
        <v>516</v>
      </c>
      <c r="J764" s="223"/>
    </row>
    <row r="765" spans="1:10" s="144" customFormat="1" ht="12.75" x14ac:dyDescent="0.25">
      <c r="A765" s="7">
        <v>371974000</v>
      </c>
      <c r="B765" s="68" t="s">
        <v>1582</v>
      </c>
      <c r="C765" s="7">
        <v>168</v>
      </c>
      <c r="D765" s="7">
        <v>18108</v>
      </c>
      <c r="E765" s="7">
        <v>9</v>
      </c>
      <c r="F765" s="71"/>
      <c r="G765" s="71"/>
      <c r="H765" s="71"/>
      <c r="I765" s="74" t="s">
        <v>273</v>
      </c>
      <c r="J765" s="223"/>
    </row>
    <row r="766" spans="1:10" s="144" customFormat="1" ht="12.75" x14ac:dyDescent="0.25">
      <c r="A766" s="21">
        <v>525015260</v>
      </c>
      <c r="B766" s="75" t="s">
        <v>1583</v>
      </c>
      <c r="C766" s="10">
        <v>75</v>
      </c>
      <c r="D766" s="10">
        <v>1433</v>
      </c>
      <c r="E766" s="25">
        <v>4.8</v>
      </c>
      <c r="F766" s="76"/>
      <c r="G766" s="76"/>
      <c r="H766" s="76"/>
      <c r="I766" s="82" t="s">
        <v>1584</v>
      </c>
      <c r="J766" s="223"/>
    </row>
    <row r="767" spans="1:10" s="144" customFormat="1" ht="12.75" x14ac:dyDescent="0.25">
      <c r="A767" s="7">
        <v>525000000</v>
      </c>
      <c r="B767" s="18" t="s">
        <v>3661</v>
      </c>
      <c r="C767" s="7" t="s">
        <v>3662</v>
      </c>
      <c r="D767" s="7" t="s">
        <v>3663</v>
      </c>
      <c r="E767" s="7" t="s">
        <v>3559</v>
      </c>
      <c r="F767" s="71"/>
      <c r="G767" s="71"/>
      <c r="H767" s="71"/>
      <c r="I767" s="23" t="s">
        <v>153</v>
      </c>
      <c r="J767" s="223"/>
    </row>
    <row r="768" spans="1:10" s="144" customFormat="1" ht="12.75" x14ac:dyDescent="0.25">
      <c r="A768" s="7">
        <v>525015159</v>
      </c>
      <c r="B768" s="18" t="s">
        <v>1585</v>
      </c>
      <c r="C768" s="7" t="s">
        <v>1586</v>
      </c>
      <c r="D768" s="7" t="s">
        <v>1587</v>
      </c>
      <c r="E768" s="7">
        <v>5.2</v>
      </c>
      <c r="F768" s="71"/>
      <c r="G768" s="71"/>
      <c r="H768" s="71"/>
      <c r="I768" s="7" t="s">
        <v>247</v>
      </c>
      <c r="J768" s="223"/>
    </row>
    <row r="769" spans="1:10" s="144" customFormat="1" ht="12.75" x14ac:dyDescent="0.25">
      <c r="A769" s="7">
        <v>352001837</v>
      </c>
      <c r="B769" s="18" t="s">
        <v>1588</v>
      </c>
      <c r="C769" s="7">
        <v>229</v>
      </c>
      <c r="D769" s="7">
        <v>45271</v>
      </c>
      <c r="E769" s="7">
        <v>12.7</v>
      </c>
      <c r="F769" s="71"/>
      <c r="G769" s="71"/>
      <c r="H769" s="71"/>
      <c r="I769" s="7" t="s">
        <v>920</v>
      </c>
      <c r="J769" s="223"/>
    </row>
    <row r="770" spans="1:10" s="144" customFormat="1" ht="12.75" x14ac:dyDescent="0.25">
      <c r="A770" s="7">
        <v>371389000</v>
      </c>
      <c r="B770" s="18" t="s">
        <v>1589</v>
      </c>
      <c r="C770" s="7">
        <v>199.9</v>
      </c>
      <c r="D770" s="83">
        <v>35823</v>
      </c>
      <c r="E770" s="7">
        <v>12.5</v>
      </c>
      <c r="F770" s="71"/>
      <c r="G770" s="71"/>
      <c r="H770" s="71"/>
      <c r="I770" s="7" t="s">
        <v>920</v>
      </c>
      <c r="J770" s="223"/>
    </row>
    <row r="771" spans="1:10" s="144" customFormat="1" ht="12.75" x14ac:dyDescent="0.25">
      <c r="A771" s="7">
        <v>525125566</v>
      </c>
      <c r="B771" s="68" t="s">
        <v>1590</v>
      </c>
      <c r="C771" s="7" t="s">
        <v>1591</v>
      </c>
      <c r="D771" s="7" t="s">
        <v>1592</v>
      </c>
      <c r="E771" s="7" t="s">
        <v>1593</v>
      </c>
      <c r="F771" s="71"/>
      <c r="G771" s="71"/>
      <c r="H771" s="10" t="s">
        <v>388</v>
      </c>
      <c r="I771" s="71" t="s">
        <v>46</v>
      </c>
      <c r="J771" s="223"/>
    </row>
    <row r="772" spans="1:10" s="144" customFormat="1" ht="12.75" x14ac:dyDescent="0.25">
      <c r="A772" s="7">
        <v>533132391</v>
      </c>
      <c r="B772" s="68" t="s">
        <v>1594</v>
      </c>
      <c r="C772" s="102">
        <v>97</v>
      </c>
      <c r="D772" s="92">
        <v>3811</v>
      </c>
      <c r="E772" s="93">
        <v>5.3</v>
      </c>
      <c r="F772" s="71"/>
      <c r="G772" s="71"/>
      <c r="H772" s="71"/>
      <c r="I772" s="71" t="s">
        <v>1595</v>
      </c>
      <c r="J772" s="223"/>
    </row>
    <row r="773" spans="1:10" s="144" customFormat="1" ht="12.75" x14ac:dyDescent="0.25">
      <c r="A773" s="7">
        <v>525010155</v>
      </c>
      <c r="B773" s="68" t="s">
        <v>1596</v>
      </c>
      <c r="C773" s="7">
        <v>90</v>
      </c>
      <c r="D773" s="7">
        <v>1998</v>
      </c>
      <c r="E773" s="7">
        <v>4.2</v>
      </c>
      <c r="F773" s="71"/>
      <c r="G773" s="71"/>
      <c r="H773" s="71"/>
      <c r="I773" s="7" t="s">
        <v>71</v>
      </c>
      <c r="J773" s="223"/>
    </row>
    <row r="774" spans="1:10" s="144" customFormat="1" ht="12.75" x14ac:dyDescent="0.25">
      <c r="A774" s="7">
        <v>525016596</v>
      </c>
      <c r="B774" s="22" t="s">
        <v>2208</v>
      </c>
      <c r="C774" s="10" t="s">
        <v>425</v>
      </c>
      <c r="D774" s="10" t="s">
        <v>1597</v>
      </c>
      <c r="E774" s="25" t="s">
        <v>1604</v>
      </c>
      <c r="F774" s="10"/>
      <c r="G774" s="10"/>
      <c r="H774" s="10" t="s">
        <v>388</v>
      </c>
      <c r="I774" s="23" t="s">
        <v>46</v>
      </c>
      <c r="J774" s="223"/>
    </row>
    <row r="775" spans="1:10" s="144" customFormat="1" ht="12.75" x14ac:dyDescent="0.25">
      <c r="A775" s="7">
        <v>525301368</v>
      </c>
      <c r="B775" s="68" t="s">
        <v>1598</v>
      </c>
      <c r="C775" s="7" t="s">
        <v>1606</v>
      </c>
      <c r="D775" s="7" t="s">
        <v>1607</v>
      </c>
      <c r="E775" s="7" t="s">
        <v>1915</v>
      </c>
      <c r="F775" s="71"/>
      <c r="G775" s="71"/>
      <c r="H775" s="71"/>
      <c r="I775" s="7" t="s">
        <v>1432</v>
      </c>
      <c r="J775" s="223"/>
    </row>
    <row r="776" spans="1:10" s="144" customFormat="1" ht="12.75" x14ac:dyDescent="0.25">
      <c r="A776" s="7">
        <v>525016212</v>
      </c>
      <c r="B776" s="68" t="s">
        <v>1599</v>
      </c>
      <c r="C776" s="7">
        <v>97.3</v>
      </c>
      <c r="D776" s="7">
        <v>2800</v>
      </c>
      <c r="E776" s="7" t="s">
        <v>766</v>
      </c>
      <c r="F776" s="71"/>
      <c r="G776" s="71"/>
      <c r="H776" s="71"/>
      <c r="I776" s="71" t="s">
        <v>39</v>
      </c>
      <c r="J776" s="223"/>
    </row>
    <row r="777" spans="1:10" s="144" customFormat="1" ht="12.75" x14ac:dyDescent="0.25">
      <c r="A777" s="7">
        <v>370320000</v>
      </c>
      <c r="B777" s="68" t="s">
        <v>1601</v>
      </c>
      <c r="C777" s="7">
        <v>260</v>
      </c>
      <c r="D777" s="7">
        <v>40165</v>
      </c>
      <c r="E777" s="7">
        <v>11.7</v>
      </c>
      <c r="F777" s="71"/>
      <c r="G777" s="71"/>
      <c r="H777" s="71"/>
      <c r="I777" s="7" t="s">
        <v>1381</v>
      </c>
      <c r="J777" s="223"/>
    </row>
    <row r="778" spans="1:10" s="144" customFormat="1" ht="12.75" x14ac:dyDescent="0.25">
      <c r="A778" s="7">
        <v>525023158</v>
      </c>
      <c r="B778" s="68" t="s">
        <v>1600</v>
      </c>
      <c r="C778" s="7">
        <v>79.52</v>
      </c>
      <c r="D778" s="7">
        <v>1598</v>
      </c>
      <c r="E778" s="7" t="s">
        <v>1105</v>
      </c>
      <c r="F778" s="71"/>
      <c r="G778" s="71"/>
      <c r="H778" s="71"/>
      <c r="I778" s="7" t="s">
        <v>1584</v>
      </c>
      <c r="J778" s="223"/>
    </row>
    <row r="779" spans="1:10" s="144" customFormat="1" ht="12.75" x14ac:dyDescent="0.25">
      <c r="A779" s="7">
        <v>525501636</v>
      </c>
      <c r="B779" s="18" t="s">
        <v>1603</v>
      </c>
      <c r="C779" s="7">
        <v>129</v>
      </c>
      <c r="D779" s="7">
        <v>7716</v>
      </c>
      <c r="E779" s="7" t="s">
        <v>1103</v>
      </c>
      <c r="F779" s="71"/>
      <c r="G779" s="71"/>
      <c r="H779" s="10" t="s">
        <v>388</v>
      </c>
      <c r="I779" s="7" t="s">
        <v>46</v>
      </c>
      <c r="J779" s="223"/>
    </row>
    <row r="780" spans="1:10" s="144" customFormat="1" ht="12.75" x14ac:dyDescent="0.2">
      <c r="A780" s="70">
        <v>525011121</v>
      </c>
      <c r="B780" s="18" t="s">
        <v>1608</v>
      </c>
      <c r="C780" s="7">
        <v>90</v>
      </c>
      <c r="D780" s="7">
        <v>2670</v>
      </c>
      <c r="E780" s="7" t="s">
        <v>101</v>
      </c>
      <c r="F780" s="71"/>
      <c r="G780" s="71"/>
      <c r="H780" s="71"/>
      <c r="I780" s="7" t="s">
        <v>260</v>
      </c>
      <c r="J780" s="223"/>
    </row>
    <row r="781" spans="1:10" s="144" customFormat="1" ht="12.75" x14ac:dyDescent="0.25">
      <c r="A781" s="7">
        <v>525023220</v>
      </c>
      <c r="B781" s="75" t="s">
        <v>1609</v>
      </c>
      <c r="C781" s="10" t="s">
        <v>1070</v>
      </c>
      <c r="D781" s="10" t="s">
        <v>1610</v>
      </c>
      <c r="E781" s="25" t="s">
        <v>1614</v>
      </c>
      <c r="F781" s="76"/>
      <c r="G781" s="76"/>
      <c r="H781" s="76"/>
      <c r="I781" s="82" t="s">
        <v>245</v>
      </c>
      <c r="J781" s="223"/>
    </row>
    <row r="782" spans="1:10" s="144" customFormat="1" ht="12.75" x14ac:dyDescent="0.25">
      <c r="A782" s="7">
        <v>525002086</v>
      </c>
      <c r="B782" s="68" t="s">
        <v>1611</v>
      </c>
      <c r="C782" s="7">
        <v>120</v>
      </c>
      <c r="D782" s="7">
        <v>6345</v>
      </c>
      <c r="E782" s="7">
        <v>5.3</v>
      </c>
      <c r="F782" s="71"/>
      <c r="G782" s="71"/>
      <c r="H782" s="71"/>
      <c r="I782" s="71" t="s">
        <v>920</v>
      </c>
      <c r="J782" s="223"/>
    </row>
    <row r="783" spans="1:10" s="144" customFormat="1" ht="12.75" x14ac:dyDescent="0.25">
      <c r="A783" s="7">
        <v>525200309</v>
      </c>
      <c r="B783" s="68" t="s">
        <v>1612</v>
      </c>
      <c r="C783" s="10" t="s">
        <v>393</v>
      </c>
      <c r="D783" s="10" t="s">
        <v>394</v>
      </c>
      <c r="E783" s="10" t="s">
        <v>1630</v>
      </c>
      <c r="F783" s="25"/>
      <c r="G783" s="10"/>
      <c r="H783" s="10"/>
      <c r="I783" s="23" t="s">
        <v>1663</v>
      </c>
      <c r="J783" s="223"/>
    </row>
    <row r="784" spans="1:10" s="144" customFormat="1" ht="12.75" x14ac:dyDescent="0.25">
      <c r="A784" s="7">
        <v>525009109</v>
      </c>
      <c r="B784" s="18" t="s">
        <v>1618</v>
      </c>
      <c r="C784" s="7" t="s">
        <v>1619</v>
      </c>
      <c r="D784" s="7" t="s">
        <v>1613</v>
      </c>
      <c r="E784" s="7" t="s">
        <v>1620</v>
      </c>
      <c r="F784" s="71"/>
      <c r="G784" s="71"/>
      <c r="H784" s="71"/>
      <c r="I784" s="7" t="s">
        <v>245</v>
      </c>
      <c r="J784" s="223"/>
    </row>
    <row r="785" spans="1:10" s="144" customFormat="1" ht="12.75" x14ac:dyDescent="0.2">
      <c r="A785" s="70">
        <v>636021107</v>
      </c>
      <c r="B785" s="18" t="s">
        <v>1616</v>
      </c>
      <c r="C785" s="7" t="s">
        <v>1617</v>
      </c>
      <c r="D785" s="7">
        <v>8916</v>
      </c>
      <c r="E785" s="7" t="s">
        <v>131</v>
      </c>
      <c r="F785" s="71"/>
      <c r="G785" s="71"/>
      <c r="H785" s="71"/>
      <c r="I785" s="7" t="s">
        <v>160</v>
      </c>
      <c r="J785" s="223"/>
    </row>
    <row r="786" spans="1:10" s="144" customFormat="1" ht="12.75" x14ac:dyDescent="0.25">
      <c r="A786" s="7">
        <v>525020178</v>
      </c>
      <c r="B786" s="68" t="s">
        <v>1621</v>
      </c>
      <c r="C786" s="10" t="s">
        <v>1622</v>
      </c>
      <c r="D786" s="10" t="s">
        <v>1623</v>
      </c>
      <c r="E786" s="25" t="s">
        <v>1629</v>
      </c>
      <c r="F786" s="10"/>
      <c r="G786" s="10"/>
      <c r="H786" s="10" t="s">
        <v>388</v>
      </c>
      <c r="I786" s="23" t="s">
        <v>46</v>
      </c>
      <c r="J786" s="223"/>
    </row>
    <row r="787" spans="1:10" s="144" customFormat="1" ht="12.75" x14ac:dyDescent="0.25">
      <c r="A787" s="7">
        <v>538006181</v>
      </c>
      <c r="B787" s="68" t="s">
        <v>1624</v>
      </c>
      <c r="C787" s="7">
        <v>183</v>
      </c>
      <c r="D787" s="7">
        <v>29767</v>
      </c>
      <c r="E787" s="7" t="s">
        <v>1638</v>
      </c>
      <c r="F787" s="71"/>
      <c r="G787" s="71"/>
      <c r="H787" s="71"/>
      <c r="I787" s="71" t="s">
        <v>160</v>
      </c>
      <c r="J787" s="223"/>
    </row>
    <row r="788" spans="1:10" s="144" customFormat="1" ht="12.75" x14ac:dyDescent="0.25">
      <c r="A788" s="7">
        <v>533170252</v>
      </c>
      <c r="B788" s="68" t="s">
        <v>1625</v>
      </c>
      <c r="C788" s="7" t="s">
        <v>1626</v>
      </c>
      <c r="D788" s="7" t="s">
        <v>1627</v>
      </c>
      <c r="E788" s="7" t="s">
        <v>1012</v>
      </c>
      <c r="F788" s="71"/>
      <c r="G788" s="71"/>
      <c r="H788" s="71"/>
      <c r="I788" s="71" t="s">
        <v>154</v>
      </c>
      <c r="J788" s="223"/>
    </row>
    <row r="789" spans="1:10" s="144" customFormat="1" ht="12.75" x14ac:dyDescent="0.25">
      <c r="A789" s="7">
        <v>525801114</v>
      </c>
      <c r="B789" s="68" t="s">
        <v>1628</v>
      </c>
      <c r="C789" s="7" t="s">
        <v>3355</v>
      </c>
      <c r="D789" s="7" t="s">
        <v>238</v>
      </c>
      <c r="E789" s="7" t="s">
        <v>3356</v>
      </c>
      <c r="F789" s="71"/>
      <c r="G789" s="71"/>
      <c r="H789" s="71"/>
      <c r="I789" s="7" t="s">
        <v>39</v>
      </c>
      <c r="J789" s="223"/>
    </row>
    <row r="790" spans="1:10" s="144" customFormat="1" ht="12.75" x14ac:dyDescent="0.25">
      <c r="A790" s="7">
        <v>525900064</v>
      </c>
      <c r="B790" s="22" t="s">
        <v>1635</v>
      </c>
      <c r="C790" s="10" t="s">
        <v>1639</v>
      </c>
      <c r="D790" s="10" t="s">
        <v>1636</v>
      </c>
      <c r="E790" s="25" t="s">
        <v>807</v>
      </c>
      <c r="F790" s="10"/>
      <c r="G790" s="10"/>
      <c r="H790" s="10"/>
      <c r="I790" s="23" t="s">
        <v>96</v>
      </c>
      <c r="J790" s="223"/>
    </row>
    <row r="791" spans="1:10" s="144" customFormat="1" ht="12.75" x14ac:dyDescent="0.25">
      <c r="A791" s="7">
        <v>525401129</v>
      </c>
      <c r="B791" s="68" t="s">
        <v>1637</v>
      </c>
      <c r="C791" s="7">
        <v>49</v>
      </c>
      <c r="D791" s="7">
        <v>467</v>
      </c>
      <c r="E791" s="7" t="s">
        <v>1061</v>
      </c>
      <c r="F791" s="71"/>
      <c r="G791" s="71"/>
      <c r="H791" s="71"/>
      <c r="I791" s="71" t="s">
        <v>183</v>
      </c>
      <c r="J791" s="223"/>
    </row>
    <row r="792" spans="1:10" s="144" customFormat="1" ht="12.75" x14ac:dyDescent="0.25">
      <c r="A792" s="7">
        <v>353518000</v>
      </c>
      <c r="B792" s="18" t="s">
        <v>1640</v>
      </c>
      <c r="C792" s="7" t="s">
        <v>1617</v>
      </c>
      <c r="D792" s="7">
        <v>12959</v>
      </c>
      <c r="E792" s="7" t="s">
        <v>1874</v>
      </c>
      <c r="F792" s="71"/>
      <c r="G792" s="71"/>
      <c r="H792" s="71"/>
      <c r="I792" s="7" t="s">
        <v>40</v>
      </c>
      <c r="J792" s="223"/>
    </row>
    <row r="793" spans="1:10" s="144" customFormat="1" ht="12.75" x14ac:dyDescent="0.25">
      <c r="A793" s="7">
        <v>525301889</v>
      </c>
      <c r="B793" s="22" t="s">
        <v>1641</v>
      </c>
      <c r="C793" s="10" t="s">
        <v>1652</v>
      </c>
      <c r="D793" s="10" t="s">
        <v>1642</v>
      </c>
      <c r="E793" s="25" t="s">
        <v>1653</v>
      </c>
      <c r="F793" s="10"/>
      <c r="G793" s="10"/>
      <c r="H793" s="10"/>
      <c r="I793" s="23" t="s">
        <v>245</v>
      </c>
      <c r="J793" s="223"/>
    </row>
    <row r="794" spans="1:10" s="144" customFormat="1" ht="12.75" x14ac:dyDescent="0.25">
      <c r="A794" s="7">
        <v>525900995</v>
      </c>
      <c r="B794" s="22" t="s">
        <v>1643</v>
      </c>
      <c r="C794" s="10" t="s">
        <v>425</v>
      </c>
      <c r="D794" s="10" t="s">
        <v>1597</v>
      </c>
      <c r="E794" s="25" t="s">
        <v>1654</v>
      </c>
      <c r="F794" s="71"/>
      <c r="G794" s="71"/>
      <c r="H794" s="10" t="s">
        <v>388</v>
      </c>
      <c r="I794" s="7" t="s">
        <v>46</v>
      </c>
      <c r="J794" s="223"/>
    </row>
    <row r="795" spans="1:10" s="144" customFormat="1" ht="12.75" x14ac:dyDescent="0.2">
      <c r="A795" s="7">
        <v>564079000</v>
      </c>
      <c r="B795" s="84" t="s">
        <v>2530</v>
      </c>
      <c r="C795" s="10" t="s">
        <v>1655</v>
      </c>
      <c r="D795" s="10">
        <v>13016</v>
      </c>
      <c r="E795" s="25" t="s">
        <v>1016</v>
      </c>
      <c r="F795" s="71"/>
      <c r="G795" s="71"/>
      <c r="H795" s="71"/>
      <c r="I795" s="7" t="s">
        <v>817</v>
      </c>
      <c r="J795" s="223"/>
    </row>
    <row r="796" spans="1:10" s="144" customFormat="1" ht="12.75" x14ac:dyDescent="0.25">
      <c r="A796" s="7">
        <v>525009335</v>
      </c>
      <c r="B796" s="18" t="s">
        <v>1772</v>
      </c>
      <c r="C796" s="7">
        <v>66</v>
      </c>
      <c r="D796" s="7">
        <v>1127</v>
      </c>
      <c r="E796" s="7">
        <v>4.4000000000000004</v>
      </c>
      <c r="F796" s="71"/>
      <c r="G796" s="71"/>
      <c r="H796" s="71"/>
      <c r="I796" s="7" t="s">
        <v>39</v>
      </c>
      <c r="J796" s="223"/>
    </row>
    <row r="797" spans="1:10" s="144" customFormat="1" ht="12.75" x14ac:dyDescent="0.25">
      <c r="A797" s="7">
        <v>525121047</v>
      </c>
      <c r="B797" s="18" t="s">
        <v>1644</v>
      </c>
      <c r="C797" s="7" t="s">
        <v>1645</v>
      </c>
      <c r="D797" s="7">
        <v>31261</v>
      </c>
      <c r="E797" s="7" t="s">
        <v>967</v>
      </c>
      <c r="F797" s="71"/>
      <c r="G797" s="71"/>
      <c r="H797" s="71"/>
      <c r="I797" s="7" t="s">
        <v>249</v>
      </c>
      <c r="J797" s="223"/>
    </row>
    <row r="798" spans="1:10" s="144" customFormat="1" ht="12.75" x14ac:dyDescent="0.25">
      <c r="A798" s="7">
        <v>525401199</v>
      </c>
      <c r="B798" s="18" t="s">
        <v>1646</v>
      </c>
      <c r="C798" s="7" t="s">
        <v>1070</v>
      </c>
      <c r="D798" s="7" t="s">
        <v>1647</v>
      </c>
      <c r="E798" s="7" t="s">
        <v>1648</v>
      </c>
      <c r="F798" s="71"/>
      <c r="G798" s="71"/>
      <c r="H798" s="71"/>
      <c r="I798" s="7" t="s">
        <v>92</v>
      </c>
      <c r="J798" s="223"/>
    </row>
    <row r="799" spans="1:10" s="144" customFormat="1" ht="12.75" x14ac:dyDescent="0.25">
      <c r="A799" s="7">
        <v>525003523</v>
      </c>
      <c r="B799" s="18" t="s">
        <v>1649</v>
      </c>
      <c r="C799" s="7" t="s">
        <v>1721</v>
      </c>
      <c r="D799" s="7" t="s">
        <v>234</v>
      </c>
      <c r="E799" s="7" t="s">
        <v>1722</v>
      </c>
      <c r="F799" s="71"/>
      <c r="G799" s="71"/>
      <c r="H799" s="71"/>
      <c r="I799" s="7" t="s">
        <v>92</v>
      </c>
      <c r="J799" s="223"/>
    </row>
    <row r="800" spans="1:10" s="144" customFormat="1" ht="12.75" x14ac:dyDescent="0.25">
      <c r="A800" s="7">
        <v>525022099</v>
      </c>
      <c r="B800" s="18" t="s">
        <v>1650</v>
      </c>
      <c r="C800" s="7" t="s">
        <v>1651</v>
      </c>
      <c r="D800" s="7" t="s">
        <v>608</v>
      </c>
      <c r="E800" s="7" t="s">
        <v>1569</v>
      </c>
      <c r="F800" s="71"/>
      <c r="G800" s="71"/>
      <c r="H800" s="10" t="s">
        <v>388</v>
      </c>
      <c r="I800" s="7" t="s">
        <v>46</v>
      </c>
      <c r="J800" s="223"/>
    </row>
    <row r="801" spans="1:10" s="144" customFormat="1" ht="12.75" x14ac:dyDescent="0.2">
      <c r="A801" s="81">
        <v>525301119</v>
      </c>
      <c r="B801" s="68" t="s">
        <v>1659</v>
      </c>
      <c r="C801" s="7">
        <v>94</v>
      </c>
      <c r="D801" s="7">
        <v>3114</v>
      </c>
      <c r="E801" s="7" t="s">
        <v>1660</v>
      </c>
      <c r="F801" s="71"/>
      <c r="G801" s="71"/>
      <c r="H801" s="71"/>
      <c r="I801" s="7" t="s">
        <v>1584</v>
      </c>
      <c r="J801" s="223"/>
    </row>
    <row r="802" spans="1:10" s="144" customFormat="1" ht="12.75" x14ac:dyDescent="0.25">
      <c r="A802" s="7">
        <v>636017308</v>
      </c>
      <c r="B802" s="68" t="s">
        <v>1661</v>
      </c>
      <c r="C802" s="7">
        <v>169.99</v>
      </c>
      <c r="D802" s="7">
        <v>18493</v>
      </c>
      <c r="E802" s="7" t="s">
        <v>1662</v>
      </c>
      <c r="F802" s="71"/>
      <c r="G802" s="71"/>
      <c r="H802" s="71"/>
      <c r="I802" s="71" t="s">
        <v>273</v>
      </c>
      <c r="J802" s="223"/>
    </row>
    <row r="803" spans="1:10" s="144" customFormat="1" ht="12.75" x14ac:dyDescent="0.25">
      <c r="A803" s="7">
        <v>525006332</v>
      </c>
      <c r="B803" s="18" t="s">
        <v>1664</v>
      </c>
      <c r="C803" s="7" t="s">
        <v>1351</v>
      </c>
      <c r="D803" s="7" t="s">
        <v>1665</v>
      </c>
      <c r="E803" s="7" t="s">
        <v>1666</v>
      </c>
      <c r="F803" s="71"/>
      <c r="G803" s="71"/>
      <c r="H803" s="71"/>
      <c r="I803" s="7" t="s">
        <v>353</v>
      </c>
      <c r="J803" s="223"/>
    </row>
    <row r="804" spans="1:10" s="144" customFormat="1" ht="12.75" x14ac:dyDescent="0.25">
      <c r="A804" s="7">
        <v>525006289</v>
      </c>
      <c r="B804" s="18" t="s">
        <v>1668</v>
      </c>
      <c r="C804" s="7" t="s">
        <v>1705</v>
      </c>
      <c r="D804" s="7" t="s">
        <v>1669</v>
      </c>
      <c r="E804" s="7" t="s">
        <v>1726</v>
      </c>
      <c r="F804" s="71"/>
      <c r="G804" s="71"/>
      <c r="H804" s="71"/>
      <c r="I804" s="7" t="s">
        <v>71</v>
      </c>
      <c r="J804" s="223"/>
    </row>
    <row r="805" spans="1:10" s="144" customFormat="1" ht="12.75" x14ac:dyDescent="0.25">
      <c r="A805" s="7">
        <v>525001136</v>
      </c>
      <c r="B805" s="18" t="s">
        <v>1670</v>
      </c>
      <c r="C805" s="7">
        <v>110</v>
      </c>
      <c r="D805" s="7">
        <v>5005</v>
      </c>
      <c r="E805" s="7" t="s">
        <v>64</v>
      </c>
      <c r="F805" s="71"/>
      <c r="G805" s="71"/>
      <c r="H805" s="71"/>
      <c r="I805" s="7" t="s">
        <v>183</v>
      </c>
      <c r="J805" s="223"/>
    </row>
    <row r="806" spans="1:10" s="144" customFormat="1" ht="12.75" x14ac:dyDescent="0.25">
      <c r="A806" s="7">
        <v>538007528</v>
      </c>
      <c r="B806" s="18" t="s">
        <v>1671</v>
      </c>
      <c r="C806" s="7">
        <v>229</v>
      </c>
      <c r="D806" s="7">
        <v>51198</v>
      </c>
      <c r="E806" s="7">
        <v>7.7</v>
      </c>
      <c r="F806" s="71"/>
      <c r="G806" s="71"/>
      <c r="H806" s="71"/>
      <c r="I806" s="7" t="s">
        <v>154</v>
      </c>
      <c r="J806" s="223"/>
    </row>
    <row r="807" spans="1:10" s="144" customFormat="1" ht="12.75" x14ac:dyDescent="0.25">
      <c r="A807" s="7">
        <v>636020781</v>
      </c>
      <c r="B807" s="68" t="s">
        <v>1674</v>
      </c>
      <c r="C807" s="7">
        <v>266</v>
      </c>
      <c r="D807" s="7">
        <v>40474</v>
      </c>
      <c r="E807" s="7">
        <v>11.4</v>
      </c>
      <c r="F807" s="71"/>
      <c r="G807" s="71"/>
      <c r="H807" s="71"/>
      <c r="I807" s="71" t="s">
        <v>1381</v>
      </c>
      <c r="J807" s="223"/>
    </row>
    <row r="808" spans="1:10" s="144" customFormat="1" ht="12.75" x14ac:dyDescent="0.25">
      <c r="A808" s="7">
        <v>525015294</v>
      </c>
      <c r="B808" s="68" t="s">
        <v>1675</v>
      </c>
      <c r="C808" s="7">
        <v>88.2</v>
      </c>
      <c r="D808" s="7">
        <v>2261</v>
      </c>
      <c r="E808" s="7" t="s">
        <v>766</v>
      </c>
      <c r="F808" s="71"/>
      <c r="G808" s="71"/>
      <c r="H808" s="71"/>
      <c r="I808" s="7" t="s">
        <v>1584</v>
      </c>
      <c r="J808" s="223"/>
    </row>
    <row r="809" spans="1:10" s="144" customFormat="1" ht="12.75" x14ac:dyDescent="0.2">
      <c r="A809" s="7">
        <v>538005770</v>
      </c>
      <c r="B809" s="85" t="s">
        <v>1676</v>
      </c>
      <c r="C809" s="7">
        <v>184</v>
      </c>
      <c r="D809" s="7">
        <v>23676</v>
      </c>
      <c r="E809" s="7">
        <v>7.9</v>
      </c>
      <c r="F809" s="71"/>
      <c r="G809" s="71"/>
      <c r="H809" s="71"/>
      <c r="I809" s="7" t="s">
        <v>150</v>
      </c>
      <c r="J809" s="223"/>
    </row>
    <row r="810" spans="1:10" s="144" customFormat="1" ht="12.75" x14ac:dyDescent="0.25">
      <c r="A810" s="7">
        <v>525018388</v>
      </c>
      <c r="B810" s="68" t="s">
        <v>1677</v>
      </c>
      <c r="C810" s="7" t="s">
        <v>1686</v>
      </c>
      <c r="D810" s="7" t="s">
        <v>1687</v>
      </c>
      <c r="E810" s="7" t="s">
        <v>1688</v>
      </c>
      <c r="F810" s="71"/>
      <c r="G810" s="71"/>
      <c r="H810" s="71"/>
      <c r="I810" s="7" t="s">
        <v>2002</v>
      </c>
      <c r="J810" s="223"/>
    </row>
    <row r="811" spans="1:10" s="144" customFormat="1" ht="12.75" x14ac:dyDescent="0.25">
      <c r="A811" s="7">
        <v>357482000</v>
      </c>
      <c r="B811" s="68" t="s">
        <v>1678</v>
      </c>
      <c r="C811" s="7">
        <v>130</v>
      </c>
      <c r="D811" s="7">
        <v>9243</v>
      </c>
      <c r="E811" s="7">
        <v>8.1</v>
      </c>
      <c r="F811" s="71"/>
      <c r="G811" s="71"/>
      <c r="H811" s="71"/>
      <c r="I811" s="71" t="s">
        <v>262</v>
      </c>
      <c r="J811" s="223"/>
    </row>
    <row r="812" spans="1:10" s="144" customFormat="1" ht="12.75" x14ac:dyDescent="0.25">
      <c r="A812" s="7">
        <v>574005520</v>
      </c>
      <c r="B812" s="75" t="s">
        <v>1679</v>
      </c>
      <c r="C812" s="10">
        <v>199</v>
      </c>
      <c r="D812" s="10">
        <v>34764</v>
      </c>
      <c r="E812" s="25">
        <v>12.6</v>
      </c>
      <c r="F812" s="71"/>
      <c r="G812" s="71"/>
      <c r="H812" s="71"/>
      <c r="I812" s="71" t="s">
        <v>154</v>
      </c>
      <c r="J812" s="223"/>
    </row>
    <row r="813" spans="1:10" s="144" customFormat="1" ht="12.75" x14ac:dyDescent="0.25">
      <c r="A813" s="7">
        <v>525117011</v>
      </c>
      <c r="B813" s="75" t="s">
        <v>1680</v>
      </c>
      <c r="C813" s="10" t="s">
        <v>1681</v>
      </c>
      <c r="D813" s="10" t="s">
        <v>1682</v>
      </c>
      <c r="E813" s="25" t="s">
        <v>1217</v>
      </c>
      <c r="F813" s="76"/>
      <c r="G813" s="76"/>
      <c r="H813" s="76"/>
      <c r="I813" s="82" t="s">
        <v>46</v>
      </c>
      <c r="J813" s="223"/>
    </row>
    <row r="814" spans="1:10" s="144" customFormat="1" ht="12.75" x14ac:dyDescent="0.25">
      <c r="A814" s="7">
        <v>525119216</v>
      </c>
      <c r="B814" s="68" t="s">
        <v>1683</v>
      </c>
      <c r="C814" s="7">
        <v>115</v>
      </c>
      <c r="D814" s="7">
        <v>5201</v>
      </c>
      <c r="E814" s="7">
        <v>5.6</v>
      </c>
      <c r="F814" s="71"/>
      <c r="G814" s="71"/>
      <c r="H814" s="71"/>
      <c r="I814" s="71" t="s">
        <v>920</v>
      </c>
      <c r="J814" s="223"/>
    </row>
    <row r="815" spans="1:10" s="144" customFormat="1" ht="12.75" x14ac:dyDescent="0.2">
      <c r="A815" s="70">
        <v>525009346</v>
      </c>
      <c r="B815" s="68" t="s">
        <v>1689</v>
      </c>
      <c r="C815" s="7">
        <v>85</v>
      </c>
      <c r="D815" s="7">
        <v>1942</v>
      </c>
      <c r="E815" s="7">
        <v>4.4000000000000004</v>
      </c>
      <c r="F815" s="71"/>
      <c r="G815" s="71"/>
      <c r="H815" s="71"/>
      <c r="I815" s="71" t="s">
        <v>71</v>
      </c>
      <c r="J815" s="223"/>
    </row>
    <row r="816" spans="1:10" s="144" customFormat="1" ht="12.75" x14ac:dyDescent="0.2">
      <c r="A816" s="70">
        <v>405000368</v>
      </c>
      <c r="B816" s="68" t="s">
        <v>1690</v>
      </c>
      <c r="C816" s="7">
        <v>189.99</v>
      </c>
      <c r="D816" s="7">
        <v>30027</v>
      </c>
      <c r="E816" s="7">
        <v>9</v>
      </c>
      <c r="F816" s="71"/>
      <c r="G816" s="71"/>
      <c r="H816" s="71"/>
      <c r="I816" s="71" t="s">
        <v>273</v>
      </c>
      <c r="J816" s="223"/>
    </row>
    <row r="817" spans="1:10" s="144" customFormat="1" ht="12.75" x14ac:dyDescent="0.25">
      <c r="A817" s="21">
        <v>525100652</v>
      </c>
      <c r="B817" s="22" t="s">
        <v>1692</v>
      </c>
      <c r="C817" s="10" t="s">
        <v>1691</v>
      </c>
      <c r="D817" s="10" t="s">
        <v>1082</v>
      </c>
      <c r="E817" s="25" t="s">
        <v>1696</v>
      </c>
      <c r="F817" s="10"/>
      <c r="G817" s="10"/>
      <c r="H817" s="10"/>
      <c r="I817" s="23" t="s">
        <v>2256</v>
      </c>
      <c r="J817" s="223"/>
    </row>
    <row r="818" spans="1:10" s="144" customFormat="1" ht="12.75" x14ac:dyDescent="0.25">
      <c r="A818" s="21">
        <v>567104000</v>
      </c>
      <c r="B818" s="75" t="s">
        <v>1693</v>
      </c>
      <c r="C818" s="10">
        <v>181</v>
      </c>
      <c r="D818" s="10">
        <v>22641</v>
      </c>
      <c r="E818" s="25" t="s">
        <v>177</v>
      </c>
      <c r="F818" s="71"/>
      <c r="G818" s="71"/>
      <c r="H818" s="71"/>
      <c r="I818" s="71" t="s">
        <v>150</v>
      </c>
      <c r="J818" s="223"/>
    </row>
    <row r="819" spans="1:10" s="144" customFormat="1" ht="12.75" x14ac:dyDescent="0.25">
      <c r="A819" s="7">
        <v>525018039</v>
      </c>
      <c r="B819" s="22" t="s">
        <v>5421</v>
      </c>
      <c r="C819" s="10" t="s">
        <v>1699</v>
      </c>
      <c r="D819" s="10" t="s">
        <v>5422</v>
      </c>
      <c r="E819" s="10" t="s">
        <v>4205</v>
      </c>
      <c r="F819" s="71"/>
      <c r="G819" s="71"/>
      <c r="H819" s="71"/>
      <c r="I819" s="71" t="s">
        <v>71</v>
      </c>
      <c r="J819" s="223"/>
    </row>
    <row r="820" spans="1:10" s="144" customFormat="1" ht="12.75" x14ac:dyDescent="0.25">
      <c r="A820" s="7">
        <v>525500718</v>
      </c>
      <c r="B820" s="68" t="s">
        <v>1702</v>
      </c>
      <c r="C820" s="7">
        <v>41.86</v>
      </c>
      <c r="D820" s="7">
        <v>498</v>
      </c>
      <c r="E820" s="7">
        <v>2.4</v>
      </c>
      <c r="F820" s="71"/>
      <c r="G820" s="71"/>
      <c r="H820" s="71"/>
      <c r="I820" s="71" t="s">
        <v>183</v>
      </c>
      <c r="J820" s="223"/>
    </row>
    <row r="821" spans="1:10" s="144" customFormat="1" ht="12.75" x14ac:dyDescent="0.2">
      <c r="A821" s="70">
        <v>574001830</v>
      </c>
      <c r="B821" s="68" t="s">
        <v>1703</v>
      </c>
      <c r="C821" s="7">
        <v>90</v>
      </c>
      <c r="D821" s="7">
        <v>2999</v>
      </c>
      <c r="E821" s="7">
        <v>4.7</v>
      </c>
      <c r="F821" s="71"/>
      <c r="G821" s="71"/>
      <c r="H821" s="71"/>
      <c r="I821" s="71" t="s">
        <v>47</v>
      </c>
      <c r="J821" s="223"/>
    </row>
    <row r="822" spans="1:10" s="144" customFormat="1" ht="12.75" x14ac:dyDescent="0.25">
      <c r="A822" s="7">
        <v>525401678</v>
      </c>
      <c r="B822" s="68" t="s">
        <v>1706</v>
      </c>
      <c r="C822" s="7">
        <v>94.95</v>
      </c>
      <c r="D822" s="7">
        <v>795</v>
      </c>
      <c r="E822" s="7">
        <v>5.6</v>
      </c>
      <c r="F822" s="71"/>
      <c r="G822" s="71"/>
      <c r="H822" s="71"/>
      <c r="I822" s="71" t="s">
        <v>1707</v>
      </c>
      <c r="J822" s="223"/>
    </row>
    <row r="823" spans="1:10" s="144" customFormat="1" ht="12.75" x14ac:dyDescent="0.25">
      <c r="A823" s="7">
        <v>249379000</v>
      </c>
      <c r="B823" s="68" t="s">
        <v>1708</v>
      </c>
      <c r="C823" s="7">
        <v>131.63</v>
      </c>
      <c r="D823" s="7">
        <v>7833</v>
      </c>
      <c r="E823" s="7">
        <v>5.6</v>
      </c>
      <c r="F823" s="71"/>
      <c r="G823" s="71"/>
      <c r="H823" s="71"/>
      <c r="I823" s="71" t="s">
        <v>40</v>
      </c>
      <c r="J823" s="223"/>
    </row>
    <row r="824" spans="1:10" s="144" customFormat="1" ht="12.75" x14ac:dyDescent="0.25">
      <c r="A824" s="7">
        <v>563102900</v>
      </c>
      <c r="B824" s="68" t="s">
        <v>1709</v>
      </c>
      <c r="C824" s="7">
        <v>99.6</v>
      </c>
      <c r="D824" s="7">
        <v>5064</v>
      </c>
      <c r="E824" s="7">
        <v>4.9000000000000004</v>
      </c>
      <c r="F824" s="71"/>
      <c r="G824" s="71"/>
      <c r="H824" s="71"/>
      <c r="I824" s="71" t="s">
        <v>154</v>
      </c>
      <c r="J824" s="223"/>
    </row>
    <row r="825" spans="1:10" s="144" customFormat="1" ht="12.75" x14ac:dyDescent="0.25">
      <c r="A825" s="21">
        <v>565585000</v>
      </c>
      <c r="B825" s="75" t="s">
        <v>1710</v>
      </c>
      <c r="C825" s="10">
        <v>183</v>
      </c>
      <c r="D825" s="10">
        <v>30152</v>
      </c>
      <c r="E825" s="25">
        <v>10.4</v>
      </c>
      <c r="F825" s="71"/>
      <c r="G825" s="71"/>
      <c r="H825" s="71"/>
      <c r="I825" s="71" t="s">
        <v>160</v>
      </c>
      <c r="J825" s="223"/>
    </row>
    <row r="826" spans="1:10" s="144" customFormat="1" ht="12.75" x14ac:dyDescent="0.25">
      <c r="A826" s="7">
        <v>563102200</v>
      </c>
      <c r="B826" s="68" t="s">
        <v>1716</v>
      </c>
      <c r="C826" s="7">
        <v>229</v>
      </c>
      <c r="D826" s="7">
        <v>47167</v>
      </c>
      <c r="E826" s="7">
        <v>7.2</v>
      </c>
      <c r="F826" s="71"/>
      <c r="G826" s="71"/>
      <c r="H826" s="71"/>
      <c r="I826" s="71" t="s">
        <v>47</v>
      </c>
      <c r="J826" s="223"/>
    </row>
    <row r="827" spans="1:10" s="144" customFormat="1" ht="12.75" x14ac:dyDescent="0.25">
      <c r="A827" s="7">
        <v>525100212</v>
      </c>
      <c r="B827" s="22" t="s">
        <v>1718</v>
      </c>
      <c r="C827" s="10" t="s">
        <v>1719</v>
      </c>
      <c r="D827" s="10" t="s">
        <v>234</v>
      </c>
      <c r="E827" s="25" t="s">
        <v>1713</v>
      </c>
      <c r="F827" s="71"/>
      <c r="G827" s="71"/>
      <c r="H827" s="71"/>
      <c r="I827" s="71" t="s">
        <v>92</v>
      </c>
      <c r="J827" s="223"/>
    </row>
    <row r="828" spans="1:10" s="144" customFormat="1" ht="12.75" x14ac:dyDescent="0.25">
      <c r="A828" s="17">
        <v>525005398</v>
      </c>
      <c r="B828" s="75" t="s">
        <v>1720</v>
      </c>
      <c r="C828" s="10">
        <v>96</v>
      </c>
      <c r="D828" s="10">
        <v>4736</v>
      </c>
      <c r="E828" s="10" t="s">
        <v>3069</v>
      </c>
      <c r="F828" s="71"/>
      <c r="G828" s="71"/>
      <c r="H828" s="71"/>
      <c r="I828" s="71" t="s">
        <v>150</v>
      </c>
      <c r="J828" s="223"/>
    </row>
    <row r="829" spans="1:10" s="144" customFormat="1" ht="12.75" x14ac:dyDescent="0.25">
      <c r="A829" s="7">
        <v>477183100</v>
      </c>
      <c r="B829" s="68" t="s">
        <v>1723</v>
      </c>
      <c r="C829" s="7">
        <v>188</v>
      </c>
      <c r="D829" s="7">
        <v>22739</v>
      </c>
      <c r="E829" s="7">
        <v>10.1</v>
      </c>
      <c r="F829" s="71"/>
      <c r="G829" s="71"/>
      <c r="H829" s="71"/>
      <c r="I829" s="71" t="s">
        <v>273</v>
      </c>
      <c r="J829" s="223"/>
    </row>
    <row r="830" spans="1:10" s="144" customFormat="1" ht="12.75" x14ac:dyDescent="0.2">
      <c r="A830" s="70">
        <v>636022078</v>
      </c>
      <c r="B830" s="68" t="s">
        <v>1730</v>
      </c>
      <c r="C830" s="7">
        <v>231</v>
      </c>
      <c r="D830" s="7">
        <v>36007</v>
      </c>
      <c r="E830" s="7">
        <v>10.7</v>
      </c>
      <c r="F830" s="71"/>
      <c r="G830" s="71"/>
      <c r="H830" s="71"/>
      <c r="I830" s="71" t="s">
        <v>1381</v>
      </c>
      <c r="J830" s="223"/>
    </row>
    <row r="831" spans="1:10" s="144" customFormat="1" ht="12.75" x14ac:dyDescent="0.25">
      <c r="A831" s="7">
        <v>525005078</v>
      </c>
      <c r="B831" s="68" t="s">
        <v>1732</v>
      </c>
      <c r="C831" s="7" t="s">
        <v>1735</v>
      </c>
      <c r="D831" s="7" t="s">
        <v>1733</v>
      </c>
      <c r="E831" s="7" t="s">
        <v>1388</v>
      </c>
      <c r="F831" s="71"/>
      <c r="G831" s="71"/>
      <c r="H831" s="71"/>
      <c r="I831" s="71" t="s">
        <v>1432</v>
      </c>
      <c r="J831" s="223"/>
    </row>
    <row r="832" spans="1:10" s="144" customFormat="1" ht="12.75" x14ac:dyDescent="0.2">
      <c r="A832" s="70">
        <v>525020202</v>
      </c>
      <c r="B832" s="68" t="s">
        <v>1734</v>
      </c>
      <c r="C832" s="7">
        <v>189</v>
      </c>
      <c r="D832" s="7">
        <v>27987</v>
      </c>
      <c r="E832" s="7">
        <v>6</v>
      </c>
      <c r="F832" s="71"/>
      <c r="G832" s="71"/>
      <c r="H832" s="71"/>
      <c r="I832" s="71" t="s">
        <v>249</v>
      </c>
      <c r="J832" s="223"/>
    </row>
    <row r="833" spans="1:10" s="144" customFormat="1" ht="12.75" x14ac:dyDescent="0.25">
      <c r="A833" s="7">
        <v>525009246</v>
      </c>
      <c r="B833" s="75" t="s">
        <v>1743</v>
      </c>
      <c r="C833" s="10" t="s">
        <v>375</v>
      </c>
      <c r="D833" s="10" t="s">
        <v>1737</v>
      </c>
      <c r="E833" s="25" t="s">
        <v>3210</v>
      </c>
      <c r="F833" s="71"/>
      <c r="G833" s="71"/>
      <c r="H833" s="71"/>
      <c r="I833" s="7" t="s">
        <v>46</v>
      </c>
      <c r="J833" s="223"/>
    </row>
    <row r="834" spans="1:10" s="144" customFormat="1" ht="12.75" x14ac:dyDescent="0.25">
      <c r="A834" s="7">
        <v>525500218</v>
      </c>
      <c r="B834" s="22" t="s">
        <v>5429</v>
      </c>
      <c r="C834" s="10" t="s">
        <v>1738</v>
      </c>
      <c r="D834" s="10" t="s">
        <v>815</v>
      </c>
      <c r="E834" s="25" t="s">
        <v>1748</v>
      </c>
      <c r="F834" s="71"/>
      <c r="G834" s="71"/>
      <c r="H834" s="71"/>
      <c r="I834" s="71" t="s">
        <v>150</v>
      </c>
      <c r="J834" s="223"/>
    </row>
    <row r="835" spans="1:10" s="144" customFormat="1" ht="12.75" x14ac:dyDescent="0.25">
      <c r="A835" s="7">
        <v>525024378</v>
      </c>
      <c r="B835" s="68" t="s">
        <v>1739</v>
      </c>
      <c r="C835" s="20" t="s">
        <v>1740</v>
      </c>
      <c r="D835" s="7" t="s">
        <v>1741</v>
      </c>
      <c r="E835" s="20" t="s">
        <v>1217</v>
      </c>
      <c r="F835" s="71"/>
      <c r="G835" s="71"/>
      <c r="H835" s="71"/>
      <c r="I835" s="71" t="s">
        <v>245</v>
      </c>
      <c r="J835" s="223"/>
    </row>
    <row r="836" spans="1:10" s="144" customFormat="1" ht="12.75" x14ac:dyDescent="0.25">
      <c r="A836" s="7">
        <v>518100946</v>
      </c>
      <c r="B836" s="68" t="s">
        <v>1742</v>
      </c>
      <c r="C836" s="7">
        <v>183</v>
      </c>
      <c r="D836" s="7">
        <v>25534</v>
      </c>
      <c r="E836" s="7">
        <v>6.5</v>
      </c>
      <c r="F836" s="71"/>
      <c r="G836" s="71"/>
      <c r="H836" s="71"/>
      <c r="I836" s="71" t="s">
        <v>273</v>
      </c>
      <c r="J836" s="223"/>
    </row>
    <row r="837" spans="1:10" s="144" customFormat="1" ht="12.75" x14ac:dyDescent="0.25">
      <c r="A837" s="7">
        <v>525015937</v>
      </c>
      <c r="B837" s="18" t="s">
        <v>1744</v>
      </c>
      <c r="C837" s="7" t="s">
        <v>1745</v>
      </c>
      <c r="D837" s="7" t="s">
        <v>1746</v>
      </c>
      <c r="E837" s="7" t="s">
        <v>1747</v>
      </c>
      <c r="F837" s="71"/>
      <c r="G837" s="71"/>
      <c r="H837" s="71"/>
      <c r="I837" s="71" t="s">
        <v>46</v>
      </c>
      <c r="J837" s="223"/>
    </row>
    <row r="838" spans="1:10" s="144" customFormat="1" ht="12.75" x14ac:dyDescent="0.25">
      <c r="A838" s="7">
        <v>311249000</v>
      </c>
      <c r="B838" s="18" t="s">
        <v>1752</v>
      </c>
      <c r="C838" s="7" t="s">
        <v>1753</v>
      </c>
      <c r="D838" s="7">
        <v>17944</v>
      </c>
      <c r="E838" s="7" t="s">
        <v>979</v>
      </c>
      <c r="F838" s="71"/>
      <c r="G838" s="71"/>
      <c r="H838" s="71"/>
      <c r="I838" s="7" t="s">
        <v>45</v>
      </c>
      <c r="J838" s="223"/>
    </row>
    <row r="839" spans="1:10" s="144" customFormat="1" ht="12.75" x14ac:dyDescent="0.25">
      <c r="A839" s="7">
        <v>352001589</v>
      </c>
      <c r="B839" s="18" t="s">
        <v>1755</v>
      </c>
      <c r="C839" s="7" t="s">
        <v>1645</v>
      </c>
      <c r="D839" s="7">
        <v>31760</v>
      </c>
      <c r="E839" s="7" t="s">
        <v>1756</v>
      </c>
      <c r="F839" s="7"/>
      <c r="G839" s="7"/>
      <c r="H839" s="7"/>
      <c r="I839" s="19" t="s">
        <v>273</v>
      </c>
      <c r="J839" s="223"/>
    </row>
    <row r="840" spans="1:10" s="144" customFormat="1" ht="12.75" x14ac:dyDescent="0.25">
      <c r="A840" s="7">
        <v>525010356</v>
      </c>
      <c r="B840" s="18" t="s">
        <v>1759</v>
      </c>
      <c r="C840" s="7">
        <v>160</v>
      </c>
      <c r="D840" s="7">
        <v>9476</v>
      </c>
      <c r="E840" s="7" t="s">
        <v>1754</v>
      </c>
      <c r="F840" s="7"/>
      <c r="G840" s="7"/>
      <c r="H840" s="7"/>
      <c r="I840" s="19" t="s">
        <v>48</v>
      </c>
      <c r="J840" s="223"/>
    </row>
    <row r="841" spans="1:10" s="144" customFormat="1" ht="12.75" x14ac:dyDescent="0.25">
      <c r="A841" s="7">
        <v>525020129</v>
      </c>
      <c r="B841" s="18" t="s">
        <v>1763</v>
      </c>
      <c r="C841" s="7" t="s">
        <v>1767</v>
      </c>
      <c r="D841" s="7" t="s">
        <v>1768</v>
      </c>
      <c r="E841" s="7" t="s">
        <v>1769</v>
      </c>
      <c r="F841" s="7"/>
      <c r="G841" s="7"/>
      <c r="H841" s="7"/>
      <c r="I841" s="19" t="s">
        <v>46</v>
      </c>
      <c r="J841" s="223"/>
    </row>
    <row r="842" spans="1:10" s="144" customFormat="1" ht="12.75" x14ac:dyDescent="0.25">
      <c r="A842" s="7">
        <v>525012314</v>
      </c>
      <c r="B842" s="22" t="s">
        <v>1766</v>
      </c>
      <c r="C842" s="10" t="s">
        <v>1764</v>
      </c>
      <c r="D842" s="10" t="s">
        <v>1765</v>
      </c>
      <c r="E842" s="10" t="s">
        <v>897</v>
      </c>
      <c r="F842" s="10"/>
      <c r="G842" s="10"/>
      <c r="H842" s="10"/>
      <c r="I842" s="23" t="s">
        <v>46</v>
      </c>
      <c r="J842" s="223"/>
    </row>
    <row r="843" spans="1:10" s="144" customFormat="1" ht="12.75" x14ac:dyDescent="0.25">
      <c r="A843" s="7">
        <v>525016391</v>
      </c>
      <c r="B843" s="18" t="s">
        <v>1770</v>
      </c>
      <c r="C843" s="7" t="s">
        <v>1771</v>
      </c>
      <c r="D843" s="7">
        <v>937</v>
      </c>
      <c r="E843" s="7" t="s">
        <v>175</v>
      </c>
      <c r="F843" s="7"/>
      <c r="G843" s="7"/>
      <c r="H843" s="7"/>
      <c r="I843" s="19" t="s">
        <v>92</v>
      </c>
      <c r="J843" s="223"/>
    </row>
    <row r="844" spans="1:10" s="144" customFormat="1" ht="12.75" x14ac:dyDescent="0.25">
      <c r="A844" s="7">
        <v>525501218</v>
      </c>
      <c r="B844" s="18" t="s">
        <v>1776</v>
      </c>
      <c r="C844" s="7" t="s">
        <v>1773</v>
      </c>
      <c r="D844" s="7" t="s">
        <v>1774</v>
      </c>
      <c r="E844" s="7" t="s">
        <v>1343</v>
      </c>
      <c r="F844" s="7"/>
      <c r="G844" s="7"/>
      <c r="H844" s="7"/>
      <c r="I844" s="19" t="s">
        <v>46</v>
      </c>
      <c r="J844" s="223"/>
    </row>
    <row r="845" spans="1:10" s="144" customFormat="1" ht="12.75" x14ac:dyDescent="0.25">
      <c r="A845" s="7">
        <v>372693000</v>
      </c>
      <c r="B845" s="18" t="s">
        <v>1777</v>
      </c>
      <c r="C845" s="7">
        <v>180</v>
      </c>
      <c r="D845" s="7">
        <v>22478</v>
      </c>
      <c r="E845" s="7" t="s">
        <v>1778</v>
      </c>
      <c r="F845" s="7"/>
      <c r="G845" s="7"/>
      <c r="H845" s="7"/>
      <c r="I845" s="19" t="s">
        <v>71</v>
      </c>
      <c r="J845" s="223"/>
    </row>
    <row r="846" spans="1:10" s="144" customFormat="1" ht="12.75" x14ac:dyDescent="0.25">
      <c r="A846" s="7">
        <v>525200941</v>
      </c>
      <c r="B846" s="22" t="s">
        <v>1779</v>
      </c>
      <c r="C846" s="10">
        <v>154</v>
      </c>
      <c r="D846" s="10">
        <v>15485</v>
      </c>
      <c r="E846" s="10" t="s">
        <v>1780</v>
      </c>
      <c r="F846" s="10"/>
      <c r="G846" s="10"/>
      <c r="H846" s="10"/>
      <c r="I846" s="23" t="s">
        <v>249</v>
      </c>
      <c r="J846" s="223"/>
    </row>
    <row r="847" spans="1:10" s="144" customFormat="1" ht="12.75" x14ac:dyDescent="0.25">
      <c r="A847" s="7">
        <v>370680000</v>
      </c>
      <c r="B847" s="18" t="s">
        <v>1781</v>
      </c>
      <c r="C847" s="7">
        <v>225</v>
      </c>
      <c r="D847" s="7">
        <v>39973</v>
      </c>
      <c r="E847" s="7" t="s">
        <v>1782</v>
      </c>
      <c r="F847" s="7"/>
      <c r="G847" s="7"/>
      <c r="H847" s="7"/>
      <c r="I847" s="19" t="s">
        <v>154</v>
      </c>
      <c r="J847" s="223"/>
    </row>
    <row r="848" spans="1:10" s="144" customFormat="1" ht="12.75" x14ac:dyDescent="0.25">
      <c r="A848" s="7">
        <v>525600472</v>
      </c>
      <c r="B848" s="18" t="s">
        <v>1783</v>
      </c>
      <c r="C848" s="7" t="s">
        <v>1784</v>
      </c>
      <c r="D848" s="7" t="s">
        <v>1785</v>
      </c>
      <c r="E848" s="7" t="s">
        <v>1786</v>
      </c>
      <c r="F848" s="7"/>
      <c r="G848" s="7"/>
      <c r="H848" s="7"/>
      <c r="I848" s="19" t="s">
        <v>46</v>
      </c>
      <c r="J848" s="223"/>
    </row>
    <row r="849" spans="1:10" s="144" customFormat="1" ht="12.75" x14ac:dyDescent="0.25">
      <c r="A849" s="7">
        <v>525020400</v>
      </c>
      <c r="B849" s="18" t="s">
        <v>1787</v>
      </c>
      <c r="C849" s="7">
        <v>47</v>
      </c>
      <c r="D849" s="7">
        <v>319</v>
      </c>
      <c r="E849" s="7" t="s">
        <v>99</v>
      </c>
      <c r="F849" s="7"/>
      <c r="G849" s="7"/>
      <c r="H849" s="7"/>
      <c r="I849" s="19" t="s">
        <v>260</v>
      </c>
      <c r="J849" s="223"/>
    </row>
    <row r="850" spans="1:10" s="144" customFormat="1" ht="12.75" x14ac:dyDescent="0.25">
      <c r="A850" s="7">
        <v>525023084</v>
      </c>
      <c r="B850" s="22" t="s">
        <v>3880</v>
      </c>
      <c r="C850" s="10">
        <v>52</v>
      </c>
      <c r="D850" s="10">
        <v>673</v>
      </c>
      <c r="E850" s="10" t="s">
        <v>3894</v>
      </c>
      <c r="F850" s="10"/>
      <c r="G850" s="10"/>
      <c r="H850" s="10"/>
      <c r="I850" s="23" t="s">
        <v>1432</v>
      </c>
      <c r="J850" s="223"/>
    </row>
    <row r="851" spans="1:10" s="144" customFormat="1" ht="12.75" x14ac:dyDescent="0.25">
      <c r="A851" s="7">
        <v>525300382</v>
      </c>
      <c r="B851" s="18" t="s">
        <v>1788</v>
      </c>
      <c r="C851" s="7" t="s">
        <v>1789</v>
      </c>
      <c r="D851" s="7" t="s">
        <v>1790</v>
      </c>
      <c r="E851" s="7" t="s">
        <v>1791</v>
      </c>
      <c r="F851" s="7"/>
      <c r="G851" s="7"/>
      <c r="H851" s="7"/>
      <c r="I851" s="19" t="s">
        <v>353</v>
      </c>
      <c r="J851" s="223"/>
    </row>
    <row r="852" spans="1:10" s="144" customFormat="1" ht="12.75" x14ac:dyDescent="0.25">
      <c r="A852" s="17">
        <v>525000421</v>
      </c>
      <c r="B852" s="18" t="s">
        <v>1792</v>
      </c>
      <c r="C852" s="7" t="s">
        <v>1793</v>
      </c>
      <c r="D852" s="7" t="s">
        <v>1794</v>
      </c>
      <c r="E852" s="7" t="s">
        <v>1795</v>
      </c>
      <c r="F852" s="7"/>
      <c r="G852" s="7"/>
      <c r="H852" s="7"/>
      <c r="I852" s="19" t="s">
        <v>245</v>
      </c>
      <c r="J852" s="223"/>
    </row>
    <row r="853" spans="1:10" s="144" customFormat="1" ht="12.75" x14ac:dyDescent="0.25">
      <c r="A853" s="17">
        <v>565876000</v>
      </c>
      <c r="B853" s="18" t="s">
        <v>1796</v>
      </c>
      <c r="C853" s="7">
        <v>143.80000000000001</v>
      </c>
      <c r="D853" s="7">
        <v>10420</v>
      </c>
      <c r="E853" s="7">
        <v>6.4</v>
      </c>
      <c r="F853" s="7"/>
      <c r="G853" s="7"/>
      <c r="H853" s="7"/>
      <c r="I853" s="19" t="s">
        <v>40</v>
      </c>
      <c r="J853" s="223"/>
    </row>
    <row r="854" spans="1:10" s="144" customFormat="1" ht="12.75" x14ac:dyDescent="0.25">
      <c r="A854" s="21">
        <v>525301965</v>
      </c>
      <c r="B854" s="22" t="s">
        <v>1797</v>
      </c>
      <c r="C854" s="10" t="s">
        <v>1798</v>
      </c>
      <c r="D854" s="10" t="s">
        <v>1799</v>
      </c>
      <c r="E854" s="10" t="s">
        <v>1800</v>
      </c>
      <c r="F854" s="10"/>
      <c r="G854" s="10"/>
      <c r="H854" s="10"/>
      <c r="I854" s="23" t="s">
        <v>262</v>
      </c>
      <c r="J854" s="223"/>
    </row>
    <row r="855" spans="1:10" s="144" customFormat="1" ht="12.75" x14ac:dyDescent="0.25">
      <c r="A855" s="17">
        <v>636021525</v>
      </c>
      <c r="B855" s="18" t="s">
        <v>1801</v>
      </c>
      <c r="C855" s="7">
        <v>129.44999999999999</v>
      </c>
      <c r="D855" s="7">
        <v>8407</v>
      </c>
      <c r="E855" s="7">
        <v>7.43</v>
      </c>
      <c r="F855" s="7"/>
      <c r="G855" s="7"/>
      <c r="H855" s="7"/>
      <c r="I855" s="19" t="s">
        <v>71</v>
      </c>
      <c r="J855" s="223"/>
    </row>
    <row r="856" spans="1:10" s="144" customFormat="1" ht="12.75" x14ac:dyDescent="0.25">
      <c r="A856" s="17">
        <v>525023222</v>
      </c>
      <c r="B856" s="18" t="s">
        <v>1802</v>
      </c>
      <c r="C856" s="7">
        <v>96</v>
      </c>
      <c r="D856" s="7">
        <v>4849</v>
      </c>
      <c r="E856" s="7">
        <v>5.8</v>
      </c>
      <c r="F856" s="7"/>
      <c r="G856" s="7"/>
      <c r="H856" s="7"/>
      <c r="I856" s="19" t="s">
        <v>1036</v>
      </c>
      <c r="J856" s="223"/>
    </row>
    <row r="857" spans="1:10" s="144" customFormat="1" ht="12.75" x14ac:dyDescent="0.25">
      <c r="A857" s="17">
        <v>564794000</v>
      </c>
      <c r="B857" s="18" t="s">
        <v>1803</v>
      </c>
      <c r="C857" s="7">
        <v>189.99</v>
      </c>
      <c r="D857" s="7">
        <v>30743</v>
      </c>
      <c r="E857" s="7">
        <v>12.7</v>
      </c>
      <c r="F857" s="7"/>
      <c r="G857" s="7"/>
      <c r="H857" s="7"/>
      <c r="I857" s="19" t="s">
        <v>154</v>
      </c>
      <c r="J857" s="223"/>
    </row>
    <row r="858" spans="1:10" s="144" customFormat="1" ht="12.75" x14ac:dyDescent="0.25">
      <c r="A858" s="21">
        <v>525300267</v>
      </c>
      <c r="B858" s="22" t="s">
        <v>1804</v>
      </c>
      <c r="C858" s="10" t="s">
        <v>1805</v>
      </c>
      <c r="D858" s="10" t="s">
        <v>1806</v>
      </c>
      <c r="E858" s="10" t="s">
        <v>1807</v>
      </c>
      <c r="F858" s="10"/>
      <c r="G858" s="10"/>
      <c r="H858" s="10"/>
      <c r="I858" s="23" t="s">
        <v>353</v>
      </c>
      <c r="J858" s="223"/>
    </row>
    <row r="859" spans="1:10" s="144" customFormat="1" ht="12.75" x14ac:dyDescent="0.25">
      <c r="A859" s="17">
        <v>354680000</v>
      </c>
      <c r="B859" s="18" t="s">
        <v>1808</v>
      </c>
      <c r="C859" s="7">
        <v>289</v>
      </c>
      <c r="D859" s="7">
        <v>90111</v>
      </c>
      <c r="E859" s="7">
        <v>11</v>
      </c>
      <c r="F859" s="7"/>
      <c r="G859" s="7"/>
      <c r="H859" s="7"/>
      <c r="I859" s="19" t="s">
        <v>920</v>
      </c>
      <c r="J859" s="223"/>
    </row>
    <row r="860" spans="1:10" s="144" customFormat="1" ht="12.75" x14ac:dyDescent="0.25">
      <c r="A860" s="21">
        <v>352001155</v>
      </c>
      <c r="B860" s="75" t="s">
        <v>1809</v>
      </c>
      <c r="C860" s="10">
        <v>128</v>
      </c>
      <c r="D860" s="10">
        <v>9978</v>
      </c>
      <c r="E860" s="25">
        <v>5.4</v>
      </c>
      <c r="F860" s="7"/>
      <c r="G860" s="7"/>
      <c r="H860" s="7"/>
      <c r="I860" s="19" t="s">
        <v>262</v>
      </c>
      <c r="J860" s="223"/>
    </row>
    <row r="861" spans="1:10" s="144" customFormat="1" ht="12.75" x14ac:dyDescent="0.25">
      <c r="A861" s="17">
        <v>538010232</v>
      </c>
      <c r="B861" s="18" t="s">
        <v>1810</v>
      </c>
      <c r="C861" s="7">
        <v>183</v>
      </c>
      <c r="D861" s="7">
        <v>29565</v>
      </c>
      <c r="E861" s="7">
        <v>9.0500000000000007</v>
      </c>
      <c r="F861" s="7"/>
      <c r="G861" s="7"/>
      <c r="H861" s="7"/>
      <c r="I861" s="19" t="s">
        <v>160</v>
      </c>
      <c r="J861" s="223"/>
    </row>
    <row r="862" spans="1:10" s="144" customFormat="1" ht="12.75" x14ac:dyDescent="0.25">
      <c r="A862" s="21">
        <v>477010700</v>
      </c>
      <c r="B862" s="22" t="s">
        <v>1811</v>
      </c>
      <c r="C862" s="10">
        <v>229</v>
      </c>
      <c r="D862" s="10">
        <v>43780</v>
      </c>
      <c r="E862" s="10">
        <v>7.2</v>
      </c>
      <c r="F862" s="10"/>
      <c r="G862" s="10"/>
      <c r="H862" s="10"/>
      <c r="I862" s="23" t="s">
        <v>150</v>
      </c>
      <c r="J862" s="223"/>
    </row>
    <row r="863" spans="1:10" s="144" customFormat="1" ht="12.75" x14ac:dyDescent="0.25">
      <c r="A863" s="7">
        <v>567604000</v>
      </c>
      <c r="B863" s="68" t="s">
        <v>1812</v>
      </c>
      <c r="C863" s="7">
        <v>105</v>
      </c>
      <c r="D863" s="7">
        <v>3866</v>
      </c>
      <c r="E863" s="7" t="s">
        <v>983</v>
      </c>
      <c r="F863" s="71"/>
      <c r="G863" s="71"/>
      <c r="H863" s="71"/>
      <c r="I863" s="71" t="s">
        <v>160</v>
      </c>
      <c r="J863" s="223"/>
    </row>
    <row r="864" spans="1:10" s="144" customFormat="1" ht="12.75" x14ac:dyDescent="0.25">
      <c r="A864" s="21">
        <v>525400099</v>
      </c>
      <c r="B864" s="22" t="s">
        <v>1813</v>
      </c>
      <c r="C864" s="10" t="s">
        <v>470</v>
      </c>
      <c r="D864" s="10" t="s">
        <v>471</v>
      </c>
      <c r="E864" s="10" t="s">
        <v>1820</v>
      </c>
      <c r="F864" s="71"/>
      <c r="G864" s="71"/>
      <c r="H864" s="71"/>
      <c r="I864" s="71" t="s">
        <v>46</v>
      </c>
      <c r="J864" s="223"/>
    </row>
    <row r="865" spans="1:10" s="144" customFormat="1" ht="12.75" x14ac:dyDescent="0.25">
      <c r="A865" s="17">
        <v>525021274</v>
      </c>
      <c r="B865" s="22" t="s">
        <v>1815</v>
      </c>
      <c r="C865" s="10" t="s">
        <v>1814</v>
      </c>
      <c r="D865" s="10" t="s">
        <v>1194</v>
      </c>
      <c r="E865" s="10" t="s">
        <v>1816</v>
      </c>
      <c r="F865" s="71"/>
      <c r="G865" s="71"/>
      <c r="H865" s="71"/>
      <c r="I865" s="71" t="s">
        <v>160</v>
      </c>
      <c r="J865" s="223"/>
    </row>
    <row r="866" spans="1:10" s="144" customFormat="1" ht="12.75" x14ac:dyDescent="0.25">
      <c r="A866" s="21">
        <v>574000400</v>
      </c>
      <c r="B866" s="75" t="s">
        <v>1822</v>
      </c>
      <c r="C866" s="10">
        <v>92</v>
      </c>
      <c r="D866" s="10">
        <v>2999</v>
      </c>
      <c r="E866" s="10" t="s">
        <v>141</v>
      </c>
      <c r="F866" s="76"/>
      <c r="G866" s="76"/>
      <c r="H866" s="76"/>
      <c r="I866" s="82" t="s">
        <v>273</v>
      </c>
      <c r="J866" s="223"/>
    </row>
    <row r="867" spans="1:10" s="144" customFormat="1" ht="12.75" x14ac:dyDescent="0.25">
      <c r="A867" s="21">
        <v>636012069</v>
      </c>
      <c r="B867" s="75" t="s">
        <v>1823</v>
      </c>
      <c r="C867" s="10">
        <v>182</v>
      </c>
      <c r="D867" s="10">
        <v>269117</v>
      </c>
      <c r="E867" s="10">
        <v>10.6</v>
      </c>
      <c r="F867" s="76"/>
      <c r="G867" s="76"/>
      <c r="H867" s="76"/>
      <c r="I867" s="82" t="s">
        <v>160</v>
      </c>
      <c r="J867" s="223"/>
    </row>
    <row r="868" spans="1:10" s="144" customFormat="1" ht="12.75" x14ac:dyDescent="0.25">
      <c r="A868" s="21">
        <v>525020238</v>
      </c>
      <c r="B868" s="75" t="s">
        <v>1824</v>
      </c>
      <c r="C868" s="10">
        <v>88.2</v>
      </c>
      <c r="D868" s="10">
        <v>2009</v>
      </c>
      <c r="E868" s="10">
        <v>5.4</v>
      </c>
      <c r="F868" s="76"/>
      <c r="G868" s="76"/>
      <c r="H868" s="76"/>
      <c r="I868" s="82" t="s">
        <v>1036</v>
      </c>
      <c r="J868" s="223"/>
    </row>
    <row r="869" spans="1:10" s="144" customFormat="1" ht="12.75" x14ac:dyDescent="0.25">
      <c r="A869" s="7">
        <v>636016775</v>
      </c>
      <c r="B869" s="75" t="s">
        <v>1827</v>
      </c>
      <c r="C869" s="10">
        <v>209</v>
      </c>
      <c r="D869" s="10">
        <v>25630</v>
      </c>
      <c r="E869" s="10" t="s">
        <v>1022</v>
      </c>
      <c r="F869" s="76"/>
      <c r="G869" s="76"/>
      <c r="H869" s="76"/>
      <c r="I869" s="82" t="s">
        <v>817</v>
      </c>
      <c r="J869" s="223"/>
    </row>
    <row r="870" spans="1:10" s="144" customFormat="1" ht="12.75" x14ac:dyDescent="0.25">
      <c r="A870" s="7">
        <v>374369000</v>
      </c>
      <c r="B870" s="75" t="s">
        <v>1825</v>
      </c>
      <c r="C870" s="10">
        <v>183</v>
      </c>
      <c r="D870" s="10">
        <v>29327</v>
      </c>
      <c r="E870" s="10" t="s">
        <v>104</v>
      </c>
      <c r="F870" s="76"/>
      <c r="G870" s="76"/>
      <c r="H870" s="76"/>
      <c r="I870" s="82" t="s">
        <v>160</v>
      </c>
      <c r="J870" s="223"/>
    </row>
    <row r="871" spans="1:10" s="144" customFormat="1" ht="12.75" x14ac:dyDescent="0.25">
      <c r="A871" s="7">
        <v>477144700</v>
      </c>
      <c r="B871" s="75" t="s">
        <v>1826</v>
      </c>
      <c r="C871" s="10">
        <v>209</v>
      </c>
      <c r="D871" s="10">
        <v>26404</v>
      </c>
      <c r="E871" s="10" t="s">
        <v>952</v>
      </c>
      <c r="F871" s="76"/>
      <c r="G871" s="76"/>
      <c r="H871" s="76"/>
      <c r="I871" s="82" t="s">
        <v>268</v>
      </c>
      <c r="J871" s="223"/>
    </row>
    <row r="872" spans="1:10" s="144" customFormat="1" ht="12.75" x14ac:dyDescent="0.25">
      <c r="A872" s="7">
        <v>235076245</v>
      </c>
      <c r="B872" s="75" t="s">
        <v>1828</v>
      </c>
      <c r="C872" s="10" t="s">
        <v>1829</v>
      </c>
      <c r="D872" s="10">
        <v>11246</v>
      </c>
      <c r="E872" s="10">
        <v>7.1</v>
      </c>
      <c r="F872" s="76"/>
      <c r="G872" s="76"/>
      <c r="H872" s="76"/>
      <c r="I872" s="82" t="s">
        <v>160</v>
      </c>
      <c r="J872" s="223"/>
    </row>
    <row r="873" spans="1:10" s="144" customFormat="1" ht="12.75" x14ac:dyDescent="0.25">
      <c r="A873" s="21">
        <v>525019607</v>
      </c>
      <c r="B873" s="75" t="s">
        <v>1832</v>
      </c>
      <c r="C873" s="10">
        <v>59</v>
      </c>
      <c r="D873" s="10">
        <v>446</v>
      </c>
      <c r="E873" s="25">
        <v>2.5</v>
      </c>
      <c r="F873" s="76"/>
      <c r="G873" s="76"/>
      <c r="H873" s="76"/>
      <c r="I873" s="82" t="s">
        <v>259</v>
      </c>
      <c r="J873" s="223"/>
    </row>
    <row r="874" spans="1:10" s="144" customFormat="1" ht="12.75" x14ac:dyDescent="0.25">
      <c r="A874" s="21">
        <v>525005399</v>
      </c>
      <c r="B874" s="75" t="s">
        <v>1833</v>
      </c>
      <c r="C874" s="10">
        <v>47</v>
      </c>
      <c r="D874" s="10">
        <v>319</v>
      </c>
      <c r="E874" s="10">
        <v>3.6</v>
      </c>
      <c r="F874" s="76"/>
      <c r="G874" s="76"/>
      <c r="H874" s="76"/>
      <c r="I874" s="82" t="s">
        <v>260</v>
      </c>
      <c r="J874" s="223"/>
    </row>
    <row r="875" spans="1:10" s="144" customFormat="1" ht="12.75" x14ac:dyDescent="0.25">
      <c r="A875" s="21">
        <v>574001890</v>
      </c>
      <c r="B875" s="75" t="s">
        <v>1834</v>
      </c>
      <c r="C875" s="10">
        <v>190</v>
      </c>
      <c r="D875" s="10">
        <v>31649</v>
      </c>
      <c r="E875" s="10">
        <v>6.7</v>
      </c>
      <c r="F875" s="76"/>
      <c r="G875" s="76"/>
      <c r="H875" s="76"/>
      <c r="I875" s="82" t="s">
        <v>154</v>
      </c>
      <c r="J875" s="223"/>
    </row>
    <row r="876" spans="1:10" s="144" customFormat="1" ht="12.75" x14ac:dyDescent="0.25">
      <c r="A876" s="21">
        <v>525015482</v>
      </c>
      <c r="B876" s="75" t="s">
        <v>1839</v>
      </c>
      <c r="C876" s="10">
        <v>80</v>
      </c>
      <c r="D876" s="10">
        <v>2269</v>
      </c>
      <c r="E876" s="10">
        <v>5.9</v>
      </c>
      <c r="F876" s="76"/>
      <c r="G876" s="76"/>
      <c r="H876" s="76"/>
      <c r="I876" s="82" t="s">
        <v>920</v>
      </c>
      <c r="J876" s="223"/>
    </row>
    <row r="877" spans="1:10" s="144" customFormat="1" ht="12.75" x14ac:dyDescent="0.25">
      <c r="A877" s="21">
        <v>525300233</v>
      </c>
      <c r="B877" s="75" t="s">
        <v>1835</v>
      </c>
      <c r="C877" s="10" t="s">
        <v>1837</v>
      </c>
      <c r="D877" s="10" t="s">
        <v>1836</v>
      </c>
      <c r="E877" s="25" t="s">
        <v>1838</v>
      </c>
      <c r="F877" s="76"/>
      <c r="G877" s="76"/>
      <c r="H877" s="76"/>
      <c r="I877" s="82" t="s">
        <v>154</v>
      </c>
      <c r="J877" s="223"/>
    </row>
    <row r="878" spans="1:10" s="144" customFormat="1" ht="12.75" x14ac:dyDescent="0.25">
      <c r="A878" s="21">
        <v>525290672</v>
      </c>
      <c r="B878" s="75" t="s">
        <v>1840</v>
      </c>
      <c r="C878" s="10">
        <v>80</v>
      </c>
      <c r="D878" s="10">
        <v>1828</v>
      </c>
      <c r="E878" s="10">
        <v>5.0999999999999996</v>
      </c>
      <c r="F878" s="76"/>
      <c r="G878" s="76"/>
      <c r="H878" s="76"/>
      <c r="I878" s="82" t="s">
        <v>39</v>
      </c>
      <c r="J878" s="223"/>
    </row>
    <row r="879" spans="1:10" s="144" customFormat="1" ht="12.75" x14ac:dyDescent="0.25">
      <c r="A879" s="21">
        <v>525121024</v>
      </c>
      <c r="B879" s="75" t="s">
        <v>1841</v>
      </c>
      <c r="C879" s="10">
        <v>96</v>
      </c>
      <c r="D879" s="10">
        <v>3576</v>
      </c>
      <c r="E879" s="10">
        <v>5</v>
      </c>
      <c r="F879" s="76"/>
      <c r="G879" s="76"/>
      <c r="H879" s="76"/>
      <c r="I879" s="82" t="s">
        <v>96</v>
      </c>
      <c r="J879" s="223"/>
    </row>
    <row r="880" spans="1:10" s="144" customFormat="1" ht="12.75" x14ac:dyDescent="0.25">
      <c r="A880" s="21">
        <v>352002448</v>
      </c>
      <c r="B880" s="75" t="s">
        <v>1842</v>
      </c>
      <c r="C880" s="10">
        <v>1999.9</v>
      </c>
      <c r="D880" s="10">
        <v>34803</v>
      </c>
      <c r="E880" s="10">
        <v>6.5</v>
      </c>
      <c r="F880" s="76"/>
      <c r="G880" s="76"/>
      <c r="H880" s="76"/>
      <c r="I880" s="82" t="s">
        <v>262</v>
      </c>
      <c r="J880" s="223"/>
    </row>
    <row r="881" spans="1:10" s="144" customFormat="1" ht="12.75" x14ac:dyDescent="0.25">
      <c r="A881" s="7">
        <v>525015864</v>
      </c>
      <c r="B881" s="75" t="s">
        <v>1844</v>
      </c>
      <c r="C881" s="10" t="s">
        <v>241</v>
      </c>
      <c r="D881" s="10" t="s">
        <v>1845</v>
      </c>
      <c r="E881" s="10" t="s">
        <v>1846</v>
      </c>
      <c r="F881" s="76"/>
      <c r="G881" s="76"/>
      <c r="H881" s="76"/>
      <c r="I881" s="82" t="s">
        <v>46</v>
      </c>
      <c r="J881" s="223"/>
    </row>
    <row r="882" spans="1:10" s="144" customFormat="1" ht="12.75" x14ac:dyDescent="0.25">
      <c r="A882" s="7">
        <v>525006001</v>
      </c>
      <c r="B882" s="22" t="s">
        <v>1847</v>
      </c>
      <c r="C882" s="10">
        <v>100</v>
      </c>
      <c r="D882" s="10">
        <v>5380</v>
      </c>
      <c r="E882" s="25">
        <v>7.6</v>
      </c>
      <c r="F882" s="10"/>
      <c r="G882" s="10"/>
      <c r="H882" s="10"/>
      <c r="I882" s="23" t="s">
        <v>1036</v>
      </c>
      <c r="J882" s="223"/>
    </row>
    <row r="883" spans="1:10" s="144" customFormat="1" ht="12.75" x14ac:dyDescent="0.25">
      <c r="A883" s="7">
        <v>525023416</v>
      </c>
      <c r="B883" s="22" t="s">
        <v>1848</v>
      </c>
      <c r="C883" s="10">
        <v>70.13</v>
      </c>
      <c r="D883" s="10">
        <v>1318</v>
      </c>
      <c r="E883" s="25">
        <v>5</v>
      </c>
      <c r="F883" s="10"/>
      <c r="G883" s="10"/>
      <c r="H883" s="10"/>
      <c r="I883" s="23" t="s">
        <v>39</v>
      </c>
      <c r="J883" s="223"/>
    </row>
    <row r="884" spans="1:10" s="144" customFormat="1" ht="12.75" x14ac:dyDescent="0.25">
      <c r="A884" s="21">
        <v>636018318</v>
      </c>
      <c r="B884" s="75" t="s">
        <v>1849</v>
      </c>
      <c r="C884" s="10">
        <v>243</v>
      </c>
      <c r="D884" s="10">
        <v>37968</v>
      </c>
      <c r="E884" s="25">
        <v>10</v>
      </c>
      <c r="F884" s="76"/>
      <c r="G884" s="76"/>
      <c r="H884" s="76"/>
      <c r="I884" s="82" t="s">
        <v>84</v>
      </c>
      <c r="J884" s="223"/>
    </row>
    <row r="885" spans="1:10" s="144" customFormat="1" ht="12.75" x14ac:dyDescent="0.25">
      <c r="A885" s="7">
        <v>525022126</v>
      </c>
      <c r="B885" s="75" t="s">
        <v>1850</v>
      </c>
      <c r="C885" s="10" t="s">
        <v>1851</v>
      </c>
      <c r="D885" s="10">
        <v>1372</v>
      </c>
      <c r="E885" s="10" t="s">
        <v>91</v>
      </c>
      <c r="F885" s="76"/>
      <c r="G885" s="76"/>
      <c r="H885" s="76"/>
      <c r="I885" s="23" t="s">
        <v>2398</v>
      </c>
      <c r="J885" s="223"/>
    </row>
    <row r="886" spans="1:10" s="144" customFormat="1" ht="12.75" x14ac:dyDescent="0.25">
      <c r="A886" s="7">
        <v>525501154</v>
      </c>
      <c r="B886" s="75" t="s">
        <v>1852</v>
      </c>
      <c r="C886" s="10">
        <v>130</v>
      </c>
      <c r="D886" s="10">
        <v>7689</v>
      </c>
      <c r="E886" s="10" t="s">
        <v>3069</v>
      </c>
      <c r="F886" s="76"/>
      <c r="G886" s="76"/>
      <c r="H886" s="76"/>
      <c r="I886" s="82" t="s">
        <v>46</v>
      </c>
      <c r="J886" s="223"/>
    </row>
    <row r="887" spans="1:10" s="144" customFormat="1" ht="12.75" x14ac:dyDescent="0.25">
      <c r="A887" s="7">
        <v>538008524</v>
      </c>
      <c r="B887" s="75" t="s">
        <v>1854</v>
      </c>
      <c r="C887" s="10">
        <v>229</v>
      </c>
      <c r="D887" s="10">
        <v>43368</v>
      </c>
      <c r="E887" s="10" t="s">
        <v>1855</v>
      </c>
      <c r="F887" s="76"/>
      <c r="G887" s="76"/>
      <c r="H887" s="76"/>
      <c r="I887" s="82" t="s">
        <v>154</v>
      </c>
      <c r="J887" s="223"/>
    </row>
    <row r="888" spans="1:10" s="144" customFormat="1" ht="12.75" x14ac:dyDescent="0.25">
      <c r="A888" s="7">
        <v>525119080</v>
      </c>
      <c r="B888" s="75" t="s">
        <v>1856</v>
      </c>
      <c r="C888" s="10">
        <v>144</v>
      </c>
      <c r="D888" s="10">
        <v>12000</v>
      </c>
      <c r="E888" s="10" t="s">
        <v>1857</v>
      </c>
      <c r="F888" s="76"/>
      <c r="G888" s="76"/>
      <c r="H888" s="76"/>
      <c r="I888" s="82" t="s">
        <v>96</v>
      </c>
      <c r="J888" s="223"/>
    </row>
    <row r="889" spans="1:10" s="144" customFormat="1" ht="12.75" x14ac:dyDescent="0.25">
      <c r="A889" s="7">
        <v>525100190</v>
      </c>
      <c r="B889" s="75" t="s">
        <v>1858</v>
      </c>
      <c r="C889" s="10" t="s">
        <v>684</v>
      </c>
      <c r="D889" s="10" t="s">
        <v>1859</v>
      </c>
      <c r="E889" s="10" t="s">
        <v>3560</v>
      </c>
      <c r="F889" s="76"/>
      <c r="G889" s="76"/>
      <c r="H889" s="76"/>
      <c r="I889" s="82" t="s">
        <v>92</v>
      </c>
      <c r="J889" s="223"/>
    </row>
    <row r="890" spans="1:10" s="144" customFormat="1" ht="12.75" x14ac:dyDescent="0.25">
      <c r="A890" s="7">
        <v>352002367</v>
      </c>
      <c r="B890" s="75" t="s">
        <v>1866</v>
      </c>
      <c r="C890" s="10">
        <v>119</v>
      </c>
      <c r="D890" s="10">
        <v>9932</v>
      </c>
      <c r="E890" s="10" t="s">
        <v>141</v>
      </c>
      <c r="F890" s="76"/>
      <c r="G890" s="76"/>
      <c r="H890" s="76"/>
      <c r="I890" s="82" t="s">
        <v>262</v>
      </c>
      <c r="J890" s="223"/>
    </row>
    <row r="891" spans="1:10" s="144" customFormat="1" ht="12.75" x14ac:dyDescent="0.25">
      <c r="A891" s="7">
        <v>374110000</v>
      </c>
      <c r="B891" s="75" t="s">
        <v>1868</v>
      </c>
      <c r="C891" s="10" t="s">
        <v>1869</v>
      </c>
      <c r="D891" s="10">
        <v>3604</v>
      </c>
      <c r="E891" s="10" t="s">
        <v>178</v>
      </c>
      <c r="F891" s="76"/>
      <c r="G891" s="76"/>
      <c r="H891" s="76"/>
      <c r="I891" s="82" t="s">
        <v>1870</v>
      </c>
      <c r="J891" s="223"/>
    </row>
    <row r="892" spans="1:10" s="144" customFormat="1" ht="12.75" x14ac:dyDescent="0.25">
      <c r="A892" s="7">
        <v>525021156</v>
      </c>
      <c r="B892" s="75" t="s">
        <v>1871</v>
      </c>
      <c r="C892" s="10" t="s">
        <v>1872</v>
      </c>
      <c r="D892" s="10" t="s">
        <v>1873</v>
      </c>
      <c r="E892" s="10" t="s">
        <v>1284</v>
      </c>
      <c r="F892" s="76"/>
      <c r="G892" s="76"/>
      <c r="H892" s="76"/>
      <c r="I892" s="82" t="s">
        <v>245</v>
      </c>
      <c r="J892" s="223"/>
    </row>
    <row r="893" spans="1:10" s="144" customFormat="1" ht="12.75" x14ac:dyDescent="0.25">
      <c r="A893" s="7">
        <v>357209000</v>
      </c>
      <c r="B893" s="75" t="s">
        <v>1875</v>
      </c>
      <c r="C893" s="10" t="s">
        <v>1876</v>
      </c>
      <c r="D893" s="10">
        <v>42067</v>
      </c>
      <c r="E893" s="10" t="s">
        <v>1256</v>
      </c>
      <c r="F893" s="76"/>
      <c r="G893" s="76"/>
      <c r="H893" s="76"/>
      <c r="I893" s="82" t="s">
        <v>71</v>
      </c>
      <c r="J893" s="223"/>
    </row>
    <row r="894" spans="1:10" s="144" customFormat="1" ht="12.75" x14ac:dyDescent="0.25">
      <c r="A894" s="7">
        <v>526063711</v>
      </c>
      <c r="B894" s="75" t="s">
        <v>1877</v>
      </c>
      <c r="C894" s="10">
        <v>90</v>
      </c>
      <c r="D894" s="10">
        <v>3208</v>
      </c>
      <c r="E894" s="10" t="s">
        <v>141</v>
      </c>
      <c r="F894" s="76"/>
      <c r="G894" s="76"/>
      <c r="H894" s="76"/>
      <c r="I894" s="82" t="s">
        <v>153</v>
      </c>
      <c r="J894" s="223"/>
    </row>
    <row r="895" spans="1:10" s="144" customFormat="1" ht="12.75" x14ac:dyDescent="0.25">
      <c r="A895" s="21">
        <v>525401562</v>
      </c>
      <c r="B895" s="75" t="s">
        <v>1878</v>
      </c>
      <c r="C895" s="10" t="s">
        <v>1879</v>
      </c>
      <c r="D895" s="10" t="s">
        <v>1880</v>
      </c>
      <c r="E895" s="10" t="s">
        <v>1923</v>
      </c>
      <c r="F895" s="76"/>
      <c r="G895" s="76"/>
      <c r="H895" s="76"/>
      <c r="I895" s="82" t="s">
        <v>46</v>
      </c>
      <c r="J895" s="223"/>
    </row>
    <row r="896" spans="1:10" s="144" customFormat="1" ht="12.75" x14ac:dyDescent="0.25">
      <c r="A896" s="7">
        <v>525023229</v>
      </c>
      <c r="B896" s="75" t="s">
        <v>1881</v>
      </c>
      <c r="C896" s="10" t="s">
        <v>1882</v>
      </c>
      <c r="D896" s="10">
        <v>979</v>
      </c>
      <c r="E896" s="10" t="s">
        <v>140</v>
      </c>
      <c r="F896" s="76"/>
      <c r="G896" s="76"/>
      <c r="H896" s="76"/>
      <c r="I896" s="82" t="s">
        <v>145</v>
      </c>
      <c r="J896" s="223"/>
    </row>
    <row r="897" spans="1:10" s="144" customFormat="1" ht="12.75" x14ac:dyDescent="0.25">
      <c r="A897" s="7">
        <v>525200187</v>
      </c>
      <c r="B897" s="75" t="s">
        <v>1883</v>
      </c>
      <c r="C897" s="10" t="s">
        <v>1884</v>
      </c>
      <c r="D897" s="10" t="s">
        <v>1885</v>
      </c>
      <c r="E897" s="10" t="s">
        <v>1886</v>
      </c>
      <c r="F897" s="76"/>
      <c r="G897" s="76"/>
      <c r="H897" s="76"/>
      <c r="I897" s="82" t="s">
        <v>39</v>
      </c>
      <c r="J897" s="223"/>
    </row>
    <row r="898" spans="1:10" s="144" customFormat="1" ht="12.75" x14ac:dyDescent="0.25">
      <c r="A898" s="7">
        <v>525300413</v>
      </c>
      <c r="B898" s="22" t="s">
        <v>3411</v>
      </c>
      <c r="C898" s="10" t="s">
        <v>894</v>
      </c>
      <c r="D898" s="10" t="s">
        <v>3412</v>
      </c>
      <c r="E898" s="10" t="s">
        <v>3056</v>
      </c>
      <c r="F898" s="76"/>
      <c r="G898" s="76"/>
      <c r="H898" s="76"/>
      <c r="I898" s="82" t="s">
        <v>247</v>
      </c>
      <c r="J898" s="223"/>
    </row>
    <row r="899" spans="1:10" s="144" customFormat="1" ht="12.75" x14ac:dyDescent="0.25">
      <c r="A899" s="7">
        <v>525401342</v>
      </c>
      <c r="B899" s="75" t="s">
        <v>1889</v>
      </c>
      <c r="C899" s="10" t="s">
        <v>1890</v>
      </c>
      <c r="D899" s="10" t="s">
        <v>1891</v>
      </c>
      <c r="E899" s="10" t="s">
        <v>1892</v>
      </c>
      <c r="F899" s="76"/>
      <c r="G899" s="76"/>
      <c r="H899" s="76"/>
      <c r="I899" s="82" t="s">
        <v>245</v>
      </c>
      <c r="J899" s="223"/>
    </row>
    <row r="900" spans="1:10" s="144" customFormat="1" ht="12.75" x14ac:dyDescent="0.25">
      <c r="A900" s="21">
        <v>636021464</v>
      </c>
      <c r="B900" s="75" t="s">
        <v>1894</v>
      </c>
      <c r="C900" s="10">
        <v>117</v>
      </c>
      <c r="D900" s="10">
        <v>6185</v>
      </c>
      <c r="E900" s="10">
        <v>6</v>
      </c>
      <c r="F900" s="76"/>
      <c r="G900" s="76"/>
      <c r="H900" s="76"/>
      <c r="I900" s="23" t="s">
        <v>160</v>
      </c>
      <c r="J900" s="223"/>
    </row>
    <row r="901" spans="1:10" s="144" customFormat="1" ht="12.75" x14ac:dyDescent="0.25">
      <c r="A901" s="21">
        <v>525022168</v>
      </c>
      <c r="B901" s="22" t="s">
        <v>5461</v>
      </c>
      <c r="C901" s="10" t="s">
        <v>3794</v>
      </c>
      <c r="D901" s="10" t="s">
        <v>5462</v>
      </c>
      <c r="E901" s="10" t="s">
        <v>1893</v>
      </c>
      <c r="F901" s="76"/>
      <c r="G901" s="76"/>
      <c r="H901" s="76"/>
      <c r="I901" s="82" t="s">
        <v>71</v>
      </c>
      <c r="J901" s="223"/>
    </row>
    <row r="902" spans="1:10" s="144" customFormat="1" ht="12.75" x14ac:dyDescent="0.25">
      <c r="A902" s="21">
        <v>440018000</v>
      </c>
      <c r="B902" s="75" t="s">
        <v>1896</v>
      </c>
      <c r="C902" s="10">
        <v>128.6</v>
      </c>
      <c r="D902" s="10">
        <v>8581</v>
      </c>
      <c r="E902" s="10">
        <v>5.95</v>
      </c>
      <c r="F902" s="76"/>
      <c r="G902" s="76"/>
      <c r="H902" s="76"/>
      <c r="I902" s="82" t="s">
        <v>160</v>
      </c>
      <c r="J902" s="223"/>
    </row>
    <row r="903" spans="1:10" s="144" customFormat="1" ht="12.75" x14ac:dyDescent="0.25">
      <c r="A903" s="21">
        <v>525112007</v>
      </c>
      <c r="B903" s="75" t="s">
        <v>1897</v>
      </c>
      <c r="C903" s="10">
        <v>189.9</v>
      </c>
      <c r="D903" s="10">
        <v>31261</v>
      </c>
      <c r="E903" s="10">
        <v>5.0999999999999996</v>
      </c>
      <c r="F903" s="76"/>
      <c r="G903" s="76"/>
      <c r="H903" s="76"/>
      <c r="I903" s="82" t="s">
        <v>249</v>
      </c>
      <c r="J903" s="223"/>
    </row>
    <row r="904" spans="1:10" s="144" customFormat="1" ht="12.75" x14ac:dyDescent="0.25">
      <c r="A904" s="21">
        <v>20000000</v>
      </c>
      <c r="B904" s="75" t="s">
        <v>1898</v>
      </c>
      <c r="C904" s="10" t="s">
        <v>505</v>
      </c>
      <c r="D904" s="10" t="s">
        <v>1899</v>
      </c>
      <c r="E904" s="10" t="s">
        <v>1900</v>
      </c>
      <c r="F904" s="76"/>
      <c r="G904" s="76"/>
      <c r="H904" s="76"/>
      <c r="I904" s="82" t="s">
        <v>41</v>
      </c>
      <c r="J904" s="223"/>
    </row>
    <row r="905" spans="1:10" s="144" customFormat="1" ht="12.75" x14ac:dyDescent="0.25">
      <c r="A905" s="21">
        <v>219024902</v>
      </c>
      <c r="B905" s="75" t="s">
        <v>1901</v>
      </c>
      <c r="C905" s="10">
        <v>183</v>
      </c>
      <c r="D905" s="10">
        <v>28877</v>
      </c>
      <c r="E905" s="10">
        <v>8.4</v>
      </c>
      <c r="F905" s="76"/>
      <c r="G905" s="76"/>
      <c r="H905" s="76"/>
      <c r="I905" s="82" t="s">
        <v>920</v>
      </c>
      <c r="J905" s="223"/>
    </row>
    <row r="906" spans="1:10" s="144" customFormat="1" ht="12.75" x14ac:dyDescent="0.25">
      <c r="A906" s="21">
        <v>525120023</v>
      </c>
      <c r="B906" s="75" t="s">
        <v>1902</v>
      </c>
      <c r="C906" s="10">
        <v>190</v>
      </c>
      <c r="D906" s="10">
        <v>31532</v>
      </c>
      <c r="E906" s="10">
        <v>6.5</v>
      </c>
      <c r="F906" s="76"/>
      <c r="G906" s="76"/>
      <c r="H906" s="76"/>
      <c r="I906" s="82" t="s">
        <v>249</v>
      </c>
      <c r="J906" s="223"/>
    </row>
    <row r="907" spans="1:10" s="144" customFormat="1" ht="12.75" x14ac:dyDescent="0.25">
      <c r="A907" s="7">
        <v>352920000</v>
      </c>
      <c r="B907" s="75" t="s">
        <v>1905</v>
      </c>
      <c r="C907" s="10">
        <v>229</v>
      </c>
      <c r="D907" s="10">
        <v>43537</v>
      </c>
      <c r="E907" s="10" t="s">
        <v>1906</v>
      </c>
      <c r="F907" s="76"/>
      <c r="G907" s="76"/>
      <c r="H907" s="76"/>
      <c r="I907" s="82" t="s">
        <v>249</v>
      </c>
      <c r="J907" s="223"/>
    </row>
    <row r="908" spans="1:10" s="144" customFormat="1" ht="12.75" x14ac:dyDescent="0.25">
      <c r="A908" s="7">
        <v>525015485</v>
      </c>
      <c r="B908" s="75" t="s">
        <v>1908</v>
      </c>
      <c r="C908" s="10">
        <v>86</v>
      </c>
      <c r="D908" s="10">
        <v>2269</v>
      </c>
      <c r="E908" s="10" t="s">
        <v>140</v>
      </c>
      <c r="F908" s="76"/>
      <c r="G908" s="76"/>
      <c r="H908" s="76"/>
      <c r="I908" s="82" t="s">
        <v>262</v>
      </c>
      <c r="J908" s="223"/>
    </row>
    <row r="909" spans="1:10" s="144" customFormat="1" ht="12.75" x14ac:dyDescent="0.25">
      <c r="A909" s="7">
        <v>525401907</v>
      </c>
      <c r="B909" s="22" t="s">
        <v>2310</v>
      </c>
      <c r="C909" s="10" t="s">
        <v>1909</v>
      </c>
      <c r="D909" s="10" t="s">
        <v>1910</v>
      </c>
      <c r="E909" s="10" t="s">
        <v>1911</v>
      </c>
      <c r="F909" s="76"/>
      <c r="G909" s="76"/>
      <c r="H909" s="76"/>
      <c r="I909" s="23" t="s">
        <v>41</v>
      </c>
      <c r="J909" s="223"/>
    </row>
    <row r="910" spans="1:10" s="144" customFormat="1" ht="12.75" x14ac:dyDescent="0.25">
      <c r="A910" s="7">
        <v>525003184</v>
      </c>
      <c r="B910" s="75" t="s">
        <v>1912</v>
      </c>
      <c r="C910" s="10" t="s">
        <v>1913</v>
      </c>
      <c r="D910" s="10" t="s">
        <v>1914</v>
      </c>
      <c r="E910" s="10" t="s">
        <v>1915</v>
      </c>
      <c r="F910" s="76"/>
      <c r="G910" s="76"/>
      <c r="H910" s="76"/>
      <c r="I910" s="82" t="s">
        <v>150</v>
      </c>
      <c r="J910" s="223"/>
    </row>
    <row r="911" spans="1:10" s="144" customFormat="1" ht="12.75" x14ac:dyDescent="0.25">
      <c r="A911" s="7">
        <v>525024169</v>
      </c>
      <c r="B911" s="75" t="s">
        <v>1916</v>
      </c>
      <c r="C911" s="10" t="s">
        <v>1917</v>
      </c>
      <c r="D911" s="10" t="s">
        <v>1918</v>
      </c>
      <c r="E911" s="10" t="s">
        <v>1919</v>
      </c>
      <c r="F911" s="76"/>
      <c r="G911" s="76"/>
      <c r="H911" s="76"/>
      <c r="I911" s="82" t="s">
        <v>1895</v>
      </c>
      <c r="J911" s="223"/>
    </row>
    <row r="912" spans="1:10" s="144" customFormat="1" ht="12.75" x14ac:dyDescent="0.25">
      <c r="A912" s="21">
        <v>538010450</v>
      </c>
      <c r="B912" s="75" t="s">
        <v>1920</v>
      </c>
      <c r="C912" s="10" t="s">
        <v>1922</v>
      </c>
      <c r="D912" s="10">
        <v>29293</v>
      </c>
      <c r="E912" s="10" t="s">
        <v>824</v>
      </c>
      <c r="F912" s="76"/>
      <c r="G912" s="76"/>
      <c r="H912" s="76"/>
      <c r="I912" s="82" t="s">
        <v>160</v>
      </c>
      <c r="J912" s="223"/>
    </row>
    <row r="913" spans="1:10" s="144" customFormat="1" ht="12.75" x14ac:dyDescent="0.25">
      <c r="A913" s="7">
        <v>525200460</v>
      </c>
      <c r="B913" s="75" t="s">
        <v>1925</v>
      </c>
      <c r="C913" s="10">
        <v>99</v>
      </c>
      <c r="D913" s="10">
        <v>2985</v>
      </c>
      <c r="E913" s="10" t="s">
        <v>1061</v>
      </c>
      <c r="F913" s="76"/>
      <c r="G913" s="76"/>
      <c r="H913" s="76"/>
      <c r="I913" s="82" t="s">
        <v>39</v>
      </c>
      <c r="J913" s="223"/>
    </row>
    <row r="914" spans="1:10" s="144" customFormat="1" ht="12.75" x14ac:dyDescent="0.25">
      <c r="A914" s="7">
        <v>563161100</v>
      </c>
      <c r="B914" s="75" t="s">
        <v>1926</v>
      </c>
      <c r="C914" s="10">
        <v>127</v>
      </c>
      <c r="D914" s="10">
        <v>9963</v>
      </c>
      <c r="E914" s="10" t="s">
        <v>178</v>
      </c>
      <c r="F914" s="76"/>
      <c r="G914" s="76"/>
      <c r="H914" s="76"/>
      <c r="I914" s="82" t="s">
        <v>262</v>
      </c>
      <c r="J914" s="223"/>
    </row>
    <row r="915" spans="1:10" s="144" customFormat="1" ht="12.75" x14ac:dyDescent="0.25">
      <c r="A915" s="7">
        <v>525501494</v>
      </c>
      <c r="B915" s="75" t="s">
        <v>1927</v>
      </c>
      <c r="C915" s="10" t="s">
        <v>1928</v>
      </c>
      <c r="D915" s="10" t="s">
        <v>1929</v>
      </c>
      <c r="E915" s="10" t="s">
        <v>1893</v>
      </c>
      <c r="F915" s="76"/>
      <c r="G915" s="76"/>
      <c r="H915" s="76"/>
      <c r="I915" s="23" t="s">
        <v>249</v>
      </c>
      <c r="J915" s="223"/>
    </row>
    <row r="916" spans="1:10" s="144" customFormat="1" ht="12.75" x14ac:dyDescent="0.25">
      <c r="A916" s="7">
        <v>525023395</v>
      </c>
      <c r="B916" s="75" t="s">
        <v>1931</v>
      </c>
      <c r="C916" s="10" t="s">
        <v>1932</v>
      </c>
      <c r="D916" s="10" t="s">
        <v>1933</v>
      </c>
      <c r="E916" s="10" t="s">
        <v>1343</v>
      </c>
      <c r="F916" s="76"/>
      <c r="G916" s="76"/>
      <c r="H916" s="76"/>
      <c r="I916" s="82" t="s">
        <v>262</v>
      </c>
      <c r="J916" s="223"/>
    </row>
    <row r="917" spans="1:10" s="144" customFormat="1" ht="12.75" x14ac:dyDescent="0.25">
      <c r="A917" s="7">
        <v>525006021</v>
      </c>
      <c r="B917" s="75" t="s">
        <v>1936</v>
      </c>
      <c r="C917" s="10" t="s">
        <v>1937</v>
      </c>
      <c r="D917" s="10" t="s">
        <v>1938</v>
      </c>
      <c r="E917" s="10" t="s">
        <v>1353</v>
      </c>
      <c r="F917" s="76"/>
      <c r="G917" s="76"/>
      <c r="H917" s="76"/>
      <c r="I917" s="82" t="s">
        <v>892</v>
      </c>
      <c r="J917" s="223"/>
    </row>
    <row r="918" spans="1:10" s="144" customFormat="1" ht="12.75" x14ac:dyDescent="0.25">
      <c r="A918" s="7">
        <v>374508000</v>
      </c>
      <c r="B918" s="75" t="s">
        <v>1939</v>
      </c>
      <c r="C918" s="10">
        <v>172</v>
      </c>
      <c r="D918" s="10">
        <v>19035</v>
      </c>
      <c r="E918" s="10" t="s">
        <v>1940</v>
      </c>
      <c r="F918" s="76"/>
      <c r="G918" s="76"/>
      <c r="H918" s="76"/>
      <c r="I918" s="23" t="s">
        <v>268</v>
      </c>
      <c r="J918" s="223"/>
    </row>
    <row r="919" spans="1:10" s="144" customFormat="1" ht="12.75" x14ac:dyDescent="0.25">
      <c r="A919" s="7">
        <v>525006365</v>
      </c>
      <c r="B919" s="75" t="s">
        <v>1941</v>
      </c>
      <c r="C919" s="10" t="s">
        <v>251</v>
      </c>
      <c r="D919" s="10" t="s">
        <v>252</v>
      </c>
      <c r="E919" s="10" t="s">
        <v>1012</v>
      </c>
      <c r="F919" s="76"/>
      <c r="G919" s="76"/>
      <c r="H919" s="76"/>
      <c r="I919" s="82" t="s">
        <v>46</v>
      </c>
      <c r="J919" s="223"/>
    </row>
    <row r="920" spans="1:10" s="144" customFormat="1" ht="12.75" x14ac:dyDescent="0.25">
      <c r="A920" s="7">
        <v>525012358</v>
      </c>
      <c r="B920" s="22" t="s">
        <v>3686</v>
      </c>
      <c r="C920" s="10" t="s">
        <v>1943</v>
      </c>
      <c r="D920" s="10" t="s">
        <v>1944</v>
      </c>
      <c r="E920" s="10" t="s">
        <v>1945</v>
      </c>
      <c r="F920" s="76"/>
      <c r="G920" s="76"/>
      <c r="H920" s="76"/>
      <c r="I920" s="23" t="s">
        <v>92</v>
      </c>
      <c r="J920" s="223"/>
    </row>
    <row r="921" spans="1:10" s="144" customFormat="1" ht="12.75" x14ac:dyDescent="0.25">
      <c r="A921" s="21">
        <v>255804350</v>
      </c>
      <c r="B921" s="22" t="s">
        <v>1946</v>
      </c>
      <c r="C921" s="10">
        <v>295</v>
      </c>
      <c r="D921" s="10">
        <v>49477</v>
      </c>
      <c r="E921" s="10">
        <v>11.7</v>
      </c>
      <c r="F921" s="76"/>
      <c r="G921" s="76"/>
      <c r="H921" s="76"/>
      <c r="I921" s="23" t="s">
        <v>817</v>
      </c>
      <c r="J921" s="223"/>
    </row>
    <row r="922" spans="1:10" s="144" customFormat="1" ht="12.75" x14ac:dyDescent="0.25">
      <c r="A922" s="21">
        <v>525301823</v>
      </c>
      <c r="B922" s="22" t="s">
        <v>1947</v>
      </c>
      <c r="C922" s="10">
        <v>140</v>
      </c>
      <c r="D922" s="10">
        <v>9457</v>
      </c>
      <c r="E922" s="10">
        <v>5.8</v>
      </c>
      <c r="F922" s="76"/>
      <c r="G922" s="76"/>
      <c r="H922" s="76"/>
      <c r="I922" s="23" t="s">
        <v>96</v>
      </c>
      <c r="J922" s="223"/>
    </row>
    <row r="923" spans="1:10" s="144" customFormat="1" ht="12.75" x14ac:dyDescent="0.25">
      <c r="A923" s="7">
        <v>574005170</v>
      </c>
      <c r="B923" s="68" t="s">
        <v>1948</v>
      </c>
      <c r="C923" s="7">
        <v>120</v>
      </c>
      <c r="D923" s="7">
        <v>8247</v>
      </c>
      <c r="E923" s="7">
        <v>8.5</v>
      </c>
      <c r="F923" s="71"/>
      <c r="G923" s="71"/>
      <c r="H923" s="71"/>
      <c r="I923" s="71" t="s">
        <v>150</v>
      </c>
      <c r="J923" s="223"/>
    </row>
    <row r="924" spans="1:10" s="144" customFormat="1" ht="12.75" x14ac:dyDescent="0.25">
      <c r="A924" s="7">
        <v>477744200</v>
      </c>
      <c r="B924" s="18" t="s">
        <v>1949</v>
      </c>
      <c r="C924" s="7">
        <v>261</v>
      </c>
      <c r="D924" s="7">
        <v>40541</v>
      </c>
      <c r="E924" s="7">
        <v>8.3000000000000007</v>
      </c>
      <c r="F924" s="7"/>
      <c r="G924" s="7"/>
      <c r="H924" s="7"/>
      <c r="I924" s="7" t="s">
        <v>268</v>
      </c>
      <c r="J924" s="223"/>
    </row>
    <row r="925" spans="1:10" s="144" customFormat="1" ht="12.75" x14ac:dyDescent="0.25">
      <c r="A925" s="7">
        <v>567592000</v>
      </c>
      <c r="B925" s="18" t="s">
        <v>1950</v>
      </c>
      <c r="C925" s="7">
        <v>111</v>
      </c>
      <c r="D925" s="7">
        <v>4854</v>
      </c>
      <c r="E925" s="7">
        <v>5</v>
      </c>
      <c r="F925" s="7"/>
      <c r="G925" s="7"/>
      <c r="H925" s="7"/>
      <c r="I925" s="7" t="s">
        <v>1895</v>
      </c>
      <c r="J925" s="223"/>
    </row>
    <row r="926" spans="1:10" s="144" customFormat="1" ht="12.75" x14ac:dyDescent="0.25">
      <c r="A926" s="7">
        <v>525066145</v>
      </c>
      <c r="B926" s="18" t="s">
        <v>1951</v>
      </c>
      <c r="C926" s="7" t="s">
        <v>615</v>
      </c>
      <c r="D926" s="7" t="s">
        <v>1952</v>
      </c>
      <c r="E926" s="7">
        <v>3.1</v>
      </c>
      <c r="F926" s="7"/>
      <c r="G926" s="7"/>
      <c r="H926" s="7"/>
      <c r="I926" s="7" t="s">
        <v>1663</v>
      </c>
      <c r="J926" s="223"/>
    </row>
    <row r="927" spans="1:10" s="144" customFormat="1" ht="12.75" x14ac:dyDescent="0.25">
      <c r="A927" s="7">
        <v>525015990</v>
      </c>
      <c r="B927" s="18" t="s">
        <v>1953</v>
      </c>
      <c r="C927" s="102" t="s">
        <v>1954</v>
      </c>
      <c r="D927" s="93" t="s">
        <v>1956</v>
      </c>
      <c r="E927" s="93" t="s">
        <v>1955</v>
      </c>
      <c r="F927" s="7"/>
      <c r="G927" s="7"/>
      <c r="H927" s="7"/>
      <c r="I927" s="7" t="s">
        <v>150</v>
      </c>
      <c r="J927" s="223"/>
    </row>
    <row r="928" spans="1:10" s="144" customFormat="1" ht="12.75" x14ac:dyDescent="0.25">
      <c r="A928" s="7">
        <v>255915564</v>
      </c>
      <c r="B928" s="18" t="s">
        <v>1957</v>
      </c>
      <c r="C928" s="7">
        <v>134</v>
      </c>
      <c r="D928" s="7">
        <v>10421</v>
      </c>
      <c r="E928" s="7">
        <v>7.2</v>
      </c>
      <c r="F928" s="7"/>
      <c r="G928" s="7"/>
      <c r="H928" s="7"/>
      <c r="I928" s="7" t="s">
        <v>40</v>
      </c>
      <c r="J928" s="223"/>
    </row>
    <row r="929" spans="1:10" s="144" customFormat="1" ht="12.75" x14ac:dyDescent="0.25">
      <c r="A929" s="7">
        <v>525119219</v>
      </c>
      <c r="B929" s="18" t="s">
        <v>1958</v>
      </c>
      <c r="C929" s="7">
        <v>115</v>
      </c>
      <c r="D929" s="7">
        <v>5137</v>
      </c>
      <c r="E929" s="7">
        <v>6.5</v>
      </c>
      <c r="F929" s="7"/>
      <c r="G929" s="7"/>
      <c r="H929" s="7"/>
      <c r="I929" s="7" t="s">
        <v>1707</v>
      </c>
      <c r="J929" s="223"/>
    </row>
    <row r="930" spans="1:10" s="144" customFormat="1" ht="12.75" x14ac:dyDescent="0.25">
      <c r="A930" s="7">
        <v>525019360</v>
      </c>
      <c r="B930" s="18" t="s">
        <v>1959</v>
      </c>
      <c r="C930" s="7">
        <v>96</v>
      </c>
      <c r="D930" s="7">
        <v>2814</v>
      </c>
      <c r="E930" s="7">
        <v>5</v>
      </c>
      <c r="F930" s="7"/>
      <c r="G930" s="7"/>
      <c r="H930" s="7"/>
      <c r="I930" s="7" t="s">
        <v>153</v>
      </c>
      <c r="J930" s="223"/>
    </row>
    <row r="931" spans="1:10" s="144" customFormat="1" ht="12.75" x14ac:dyDescent="0.25">
      <c r="A931" s="7">
        <v>525002063</v>
      </c>
      <c r="B931" s="18" t="s">
        <v>1960</v>
      </c>
      <c r="C931" s="7">
        <v>101</v>
      </c>
      <c r="D931" s="7">
        <v>5813</v>
      </c>
      <c r="E931" s="7">
        <v>4.9000000000000004</v>
      </c>
      <c r="F931" s="7"/>
      <c r="G931" s="7"/>
      <c r="H931" s="7"/>
      <c r="I931" s="7" t="s">
        <v>920</v>
      </c>
      <c r="J931" s="223"/>
    </row>
    <row r="932" spans="1:10" s="144" customFormat="1" ht="12.75" x14ac:dyDescent="0.25">
      <c r="A932" s="7">
        <v>636014514</v>
      </c>
      <c r="B932" s="18" t="s">
        <v>1961</v>
      </c>
      <c r="C932" s="7">
        <v>225</v>
      </c>
      <c r="D932" s="7">
        <v>38877</v>
      </c>
      <c r="E932" s="7">
        <v>6.9</v>
      </c>
      <c r="F932" s="7"/>
      <c r="G932" s="7"/>
      <c r="H932" s="7"/>
      <c r="I932" s="7" t="s">
        <v>273</v>
      </c>
      <c r="J932" s="223"/>
    </row>
    <row r="933" spans="1:10" s="144" customFormat="1" ht="12.75" x14ac:dyDescent="0.25">
      <c r="A933" s="7">
        <v>477195600</v>
      </c>
      <c r="B933" s="18" t="s">
        <v>1962</v>
      </c>
      <c r="C933" s="7">
        <v>175</v>
      </c>
      <c r="D933" s="7">
        <v>19836</v>
      </c>
      <c r="E933" s="7">
        <v>6.5</v>
      </c>
      <c r="F933" s="7"/>
      <c r="G933" s="7"/>
      <c r="H933" s="7"/>
      <c r="I933" s="7" t="s">
        <v>150</v>
      </c>
      <c r="J933" s="223"/>
    </row>
    <row r="934" spans="1:10" s="144" customFormat="1" ht="12.75" x14ac:dyDescent="0.2">
      <c r="A934" s="7">
        <v>525009190</v>
      </c>
      <c r="B934" s="85" t="s">
        <v>1963</v>
      </c>
      <c r="C934" s="7" t="s">
        <v>1964</v>
      </c>
      <c r="D934" s="7" t="s">
        <v>1965</v>
      </c>
      <c r="E934" s="7" t="s">
        <v>1966</v>
      </c>
      <c r="F934" s="7"/>
      <c r="G934" s="7"/>
      <c r="H934" s="7"/>
      <c r="I934" s="7" t="s">
        <v>46</v>
      </c>
      <c r="J934" s="223"/>
    </row>
    <row r="935" spans="1:10" s="144" customFormat="1" ht="12.75" x14ac:dyDescent="0.25">
      <c r="A935" s="7">
        <v>636022382</v>
      </c>
      <c r="B935" s="18" t="s">
        <v>1967</v>
      </c>
      <c r="C935" s="7">
        <v>190</v>
      </c>
      <c r="D935" s="7">
        <v>30811</v>
      </c>
      <c r="E935" s="7">
        <v>6.2</v>
      </c>
      <c r="F935" s="7"/>
      <c r="G935" s="7"/>
      <c r="H935" s="7"/>
      <c r="I935" s="7" t="s">
        <v>262</v>
      </c>
      <c r="J935" s="223"/>
    </row>
    <row r="936" spans="1:10" s="144" customFormat="1" ht="12.75" x14ac:dyDescent="0.2">
      <c r="A936" s="7">
        <v>525100198</v>
      </c>
      <c r="B936" s="18" t="s">
        <v>1968</v>
      </c>
      <c r="C936" s="86" t="s">
        <v>1969</v>
      </c>
      <c r="D936" s="86" t="s">
        <v>1970</v>
      </c>
      <c r="E936" s="86" t="s">
        <v>1971</v>
      </c>
      <c r="F936" s="7"/>
      <c r="G936" s="7"/>
      <c r="H936" s="7"/>
      <c r="I936" s="7" t="s">
        <v>2002</v>
      </c>
      <c r="J936" s="223"/>
    </row>
    <row r="937" spans="1:10" s="144" customFormat="1" ht="12.75" x14ac:dyDescent="0.2">
      <c r="A937" s="7">
        <v>533000819</v>
      </c>
      <c r="B937" s="18" t="s">
        <v>1972</v>
      </c>
      <c r="C937" s="86" t="s">
        <v>1973</v>
      </c>
      <c r="D937" s="86" t="s">
        <v>1974</v>
      </c>
      <c r="E937" s="86" t="s">
        <v>1975</v>
      </c>
      <c r="F937" s="7"/>
      <c r="G937" s="7"/>
      <c r="H937" s="7"/>
      <c r="I937" s="7" t="s">
        <v>1976</v>
      </c>
      <c r="J937" s="223"/>
    </row>
    <row r="938" spans="1:10" s="144" customFormat="1" ht="12.75" x14ac:dyDescent="0.25">
      <c r="A938" s="7">
        <v>525103003</v>
      </c>
      <c r="B938" s="18" t="s">
        <v>1977</v>
      </c>
      <c r="C938" s="7">
        <v>190</v>
      </c>
      <c r="D938" s="7">
        <v>30721</v>
      </c>
      <c r="E938" s="7">
        <v>12.8</v>
      </c>
      <c r="F938" s="7"/>
      <c r="G938" s="7"/>
      <c r="H938" s="7"/>
      <c r="I938" s="7" t="s">
        <v>249</v>
      </c>
      <c r="J938" s="223"/>
    </row>
    <row r="939" spans="1:10" s="144" customFormat="1" ht="12.75" x14ac:dyDescent="0.25">
      <c r="A939" s="7">
        <v>525018102</v>
      </c>
      <c r="B939" s="22" t="s">
        <v>1978</v>
      </c>
      <c r="C939" s="10" t="s">
        <v>1979</v>
      </c>
      <c r="D939" s="10">
        <v>5770</v>
      </c>
      <c r="E939" s="25" t="s">
        <v>95</v>
      </c>
      <c r="F939" s="10"/>
      <c r="G939" s="10"/>
      <c r="H939" s="10"/>
      <c r="I939" s="23" t="s">
        <v>46</v>
      </c>
      <c r="J939" s="223"/>
    </row>
    <row r="940" spans="1:10" s="144" customFormat="1" ht="12.75" x14ac:dyDescent="0.25">
      <c r="A940" s="7">
        <v>525007266</v>
      </c>
      <c r="B940" s="18" t="s">
        <v>1980</v>
      </c>
      <c r="C940" s="7" t="s">
        <v>1981</v>
      </c>
      <c r="D940" s="7" t="s">
        <v>992</v>
      </c>
      <c r="E940" s="7" t="s">
        <v>1729</v>
      </c>
      <c r="F940" s="7"/>
      <c r="G940" s="7"/>
      <c r="H940" s="7"/>
      <c r="I940" s="7" t="s">
        <v>249</v>
      </c>
      <c r="J940" s="223"/>
    </row>
    <row r="941" spans="1:10" s="144" customFormat="1" ht="12.75" x14ac:dyDescent="0.25">
      <c r="A941" s="7">
        <v>525908064</v>
      </c>
      <c r="B941" s="18" t="s">
        <v>1635</v>
      </c>
      <c r="C941" s="7" t="s">
        <v>1983</v>
      </c>
      <c r="D941" s="7" t="s">
        <v>1636</v>
      </c>
      <c r="E941" s="7" t="s">
        <v>1984</v>
      </c>
      <c r="F941" s="7"/>
      <c r="G941" s="7"/>
      <c r="H941" s="7"/>
      <c r="I941" s="7" t="s">
        <v>96</v>
      </c>
      <c r="J941" s="223"/>
    </row>
    <row r="942" spans="1:10" s="144" customFormat="1" ht="12.75" x14ac:dyDescent="0.25">
      <c r="A942" s="24">
        <v>525200066</v>
      </c>
      <c r="B942" s="22" t="s">
        <v>1985</v>
      </c>
      <c r="C942" s="25" t="s">
        <v>1986</v>
      </c>
      <c r="D942" s="25" t="s">
        <v>1987</v>
      </c>
      <c r="E942" s="25" t="s">
        <v>1988</v>
      </c>
      <c r="F942" s="10"/>
      <c r="G942" s="10"/>
      <c r="H942" s="10"/>
      <c r="I942" s="26" t="s">
        <v>1989</v>
      </c>
      <c r="J942" s="223"/>
    </row>
    <row r="943" spans="1:10" s="144" customFormat="1" ht="12.75" x14ac:dyDescent="0.25">
      <c r="A943" s="7">
        <v>525021076</v>
      </c>
      <c r="B943" s="18" t="s">
        <v>1990</v>
      </c>
      <c r="C943" s="10" t="s">
        <v>2236</v>
      </c>
      <c r="D943" s="10" t="s">
        <v>2237</v>
      </c>
      <c r="E943" s="10" t="s">
        <v>2238</v>
      </c>
      <c r="F943" s="7"/>
      <c r="G943" s="7"/>
      <c r="H943" s="7"/>
      <c r="I943" s="7" t="s">
        <v>249</v>
      </c>
      <c r="J943" s="223"/>
    </row>
    <row r="944" spans="1:10" s="144" customFormat="1" ht="12.75" x14ac:dyDescent="0.25">
      <c r="A944" s="7">
        <v>413996000</v>
      </c>
      <c r="B944" s="18" t="s">
        <v>1991</v>
      </c>
      <c r="C944" s="95">
        <v>264</v>
      </c>
      <c r="D944" s="95">
        <v>41899</v>
      </c>
      <c r="E944" s="95">
        <v>10.9</v>
      </c>
      <c r="F944" s="7"/>
      <c r="G944" s="7"/>
      <c r="H944" s="7"/>
      <c r="I944" s="7" t="s">
        <v>1051</v>
      </c>
      <c r="J944" s="223"/>
    </row>
    <row r="945" spans="1:10" s="144" customFormat="1" ht="12.75" x14ac:dyDescent="0.25">
      <c r="A945" s="7">
        <v>525201423</v>
      </c>
      <c r="B945" s="22" t="s">
        <v>1993</v>
      </c>
      <c r="C945" s="10" t="s">
        <v>1994</v>
      </c>
      <c r="D945" s="10" t="s">
        <v>1995</v>
      </c>
      <c r="E945" s="25" t="s">
        <v>3244</v>
      </c>
      <c r="F945" s="10"/>
      <c r="G945" s="10"/>
      <c r="H945" s="10"/>
      <c r="I945" s="23" t="s">
        <v>3038</v>
      </c>
      <c r="J945" s="223"/>
    </row>
    <row r="946" spans="1:10" s="144" customFormat="1" ht="12.75" x14ac:dyDescent="0.25">
      <c r="A946" s="7">
        <v>525300027</v>
      </c>
      <c r="B946" s="22" t="s">
        <v>1996</v>
      </c>
      <c r="C946" s="10">
        <v>56</v>
      </c>
      <c r="D946" s="10">
        <v>667</v>
      </c>
      <c r="E946" s="25" t="s">
        <v>1997</v>
      </c>
      <c r="F946" s="10"/>
      <c r="G946" s="10"/>
      <c r="H946" s="10"/>
      <c r="I946" s="23" t="s">
        <v>260</v>
      </c>
      <c r="J946" s="223"/>
    </row>
    <row r="947" spans="1:10" s="144" customFormat="1" ht="12.75" x14ac:dyDescent="0.25">
      <c r="A947" s="7">
        <v>636018599</v>
      </c>
      <c r="B947" s="18" t="s">
        <v>1998</v>
      </c>
      <c r="C947" s="7">
        <v>288</v>
      </c>
      <c r="D947" s="7">
        <v>88955</v>
      </c>
      <c r="E947" s="7">
        <v>8.9</v>
      </c>
      <c r="F947" s="7"/>
      <c r="G947" s="7"/>
      <c r="H947" s="7"/>
      <c r="I947" s="7" t="s">
        <v>262</v>
      </c>
      <c r="J947" s="223"/>
    </row>
    <row r="948" spans="1:10" s="144" customFormat="1" ht="12.75" x14ac:dyDescent="0.25">
      <c r="A948" s="7">
        <v>525100229</v>
      </c>
      <c r="B948" s="18" t="s">
        <v>1999</v>
      </c>
      <c r="C948" s="7" t="s">
        <v>1699</v>
      </c>
      <c r="D948" s="7" t="s">
        <v>2000</v>
      </c>
      <c r="E948" s="7" t="s">
        <v>2001</v>
      </c>
      <c r="F948" s="7"/>
      <c r="G948" s="7"/>
      <c r="H948" s="7"/>
      <c r="I948" s="7" t="s">
        <v>39</v>
      </c>
      <c r="J948" s="223"/>
    </row>
    <row r="949" spans="1:10" s="144" customFormat="1" ht="12.75" x14ac:dyDescent="0.25">
      <c r="A949" s="7">
        <v>525501695</v>
      </c>
      <c r="B949" s="18" t="s">
        <v>2003</v>
      </c>
      <c r="C949" s="7">
        <v>27</v>
      </c>
      <c r="D949" s="7">
        <v>176</v>
      </c>
      <c r="E949" s="7">
        <v>2.5</v>
      </c>
      <c r="F949" s="7"/>
      <c r="G949" s="7"/>
      <c r="H949" s="7"/>
      <c r="I949" s="7" t="s">
        <v>41</v>
      </c>
      <c r="J949" s="223"/>
    </row>
    <row r="950" spans="1:10" s="144" customFormat="1" ht="12.75" x14ac:dyDescent="0.25">
      <c r="A950" s="7">
        <v>525100428</v>
      </c>
      <c r="B950" s="18" t="s">
        <v>2004</v>
      </c>
      <c r="C950" s="7" t="s">
        <v>920</v>
      </c>
      <c r="D950" s="7" t="s">
        <v>920</v>
      </c>
      <c r="E950" s="7" t="s">
        <v>920</v>
      </c>
      <c r="F950" s="7"/>
      <c r="G950" s="7"/>
      <c r="H950" s="7"/>
      <c r="I950" s="7" t="s">
        <v>92</v>
      </c>
      <c r="J950" s="223"/>
    </row>
    <row r="951" spans="1:10" s="144" customFormat="1" ht="12.75" x14ac:dyDescent="0.25">
      <c r="A951" s="7">
        <v>235102465</v>
      </c>
      <c r="B951" s="18" t="s">
        <v>2005</v>
      </c>
      <c r="C951" s="7">
        <v>199</v>
      </c>
      <c r="D951" s="7">
        <v>35872</v>
      </c>
      <c r="E951" s="7">
        <v>7.5</v>
      </c>
      <c r="F951" s="7"/>
      <c r="G951" s="7"/>
      <c r="H951" s="7"/>
      <c r="I951" s="7" t="s">
        <v>273</v>
      </c>
      <c r="J951" s="223"/>
    </row>
    <row r="952" spans="1:10" s="144" customFormat="1" ht="12.75" x14ac:dyDescent="0.25">
      <c r="A952" s="7">
        <v>525019537</v>
      </c>
      <c r="B952" s="18" t="s">
        <v>1871</v>
      </c>
      <c r="C952" s="7"/>
      <c r="D952" s="7"/>
      <c r="E952" s="7"/>
      <c r="F952" s="7"/>
      <c r="G952" s="7"/>
      <c r="H952" s="7"/>
      <c r="I952" s="7" t="s">
        <v>247</v>
      </c>
      <c r="J952" s="223"/>
    </row>
    <row r="953" spans="1:10" s="144" customFormat="1" ht="12.75" x14ac:dyDescent="0.25">
      <c r="A953" s="7">
        <v>229285000</v>
      </c>
      <c r="B953" s="18" t="s">
        <v>2006</v>
      </c>
      <c r="C953" s="7">
        <v>229</v>
      </c>
      <c r="D953" s="7">
        <v>43990</v>
      </c>
      <c r="E953" s="7">
        <v>7.5</v>
      </c>
      <c r="F953" s="7"/>
      <c r="G953" s="7"/>
      <c r="H953" s="7"/>
      <c r="I953" s="7" t="s">
        <v>154</v>
      </c>
      <c r="J953" s="223"/>
    </row>
    <row r="954" spans="1:10" s="144" customFormat="1" ht="12.75" x14ac:dyDescent="0.25">
      <c r="A954" s="7">
        <v>372598000</v>
      </c>
      <c r="B954" s="18" t="s">
        <v>2007</v>
      </c>
      <c r="C954" s="7">
        <v>104</v>
      </c>
      <c r="D954" s="7">
        <v>7727</v>
      </c>
      <c r="E954" s="7">
        <v>7.3</v>
      </c>
      <c r="F954" s="7"/>
      <c r="G954" s="7"/>
      <c r="H954" s="7"/>
      <c r="I954" s="7" t="s">
        <v>920</v>
      </c>
      <c r="J954" s="223"/>
    </row>
    <row r="955" spans="1:10" s="144" customFormat="1" ht="12.75" x14ac:dyDescent="0.25">
      <c r="A955" s="7">
        <v>525200412</v>
      </c>
      <c r="B955" s="18" t="s">
        <v>2008</v>
      </c>
      <c r="C955" s="7" t="s">
        <v>2009</v>
      </c>
      <c r="D955" s="7" t="s">
        <v>2010</v>
      </c>
      <c r="E955" s="7" t="s">
        <v>2011</v>
      </c>
      <c r="F955" s="7"/>
      <c r="G955" s="7"/>
      <c r="H955" s="7"/>
      <c r="I955" s="7" t="s">
        <v>245</v>
      </c>
      <c r="J955" s="223"/>
    </row>
    <row r="956" spans="1:10" s="144" customFormat="1" ht="12.75" x14ac:dyDescent="0.25">
      <c r="A956" s="7">
        <v>525006331</v>
      </c>
      <c r="B956" s="18" t="s">
        <v>2013</v>
      </c>
      <c r="C956" s="10" t="s">
        <v>251</v>
      </c>
      <c r="D956" s="10" t="s">
        <v>252</v>
      </c>
      <c r="E956" s="10" t="s">
        <v>1012</v>
      </c>
      <c r="F956" s="7"/>
      <c r="G956" s="7"/>
      <c r="H956" s="7"/>
      <c r="I956" s="7" t="s">
        <v>1707</v>
      </c>
      <c r="J956" s="223"/>
    </row>
    <row r="957" spans="1:10" s="144" customFormat="1" ht="12.75" x14ac:dyDescent="0.25">
      <c r="A957" s="7">
        <v>525020186</v>
      </c>
      <c r="B957" s="18" t="s">
        <v>2014</v>
      </c>
      <c r="C957" s="7">
        <v>82</v>
      </c>
      <c r="D957" s="7">
        <v>2072</v>
      </c>
      <c r="E957" s="7">
        <v>3.6</v>
      </c>
      <c r="F957" s="7"/>
      <c r="G957" s="7"/>
      <c r="H957" s="7"/>
      <c r="I957" s="7" t="s">
        <v>71</v>
      </c>
      <c r="J957" s="223"/>
    </row>
    <row r="958" spans="1:10" s="144" customFormat="1" ht="12.75" x14ac:dyDescent="0.25">
      <c r="A958" s="7">
        <v>525900039</v>
      </c>
      <c r="B958" s="18" t="s">
        <v>2016</v>
      </c>
      <c r="C958" s="7" t="s">
        <v>2017</v>
      </c>
      <c r="D958" s="7" t="s">
        <v>2018</v>
      </c>
      <c r="E958" s="7" t="s">
        <v>2019</v>
      </c>
      <c r="F958" s="7"/>
      <c r="G958" s="7"/>
      <c r="H958" s="7"/>
      <c r="I958" s="7" t="s">
        <v>245</v>
      </c>
      <c r="J958" s="223"/>
    </row>
    <row r="959" spans="1:10" s="144" customFormat="1" ht="12.75" x14ac:dyDescent="0.25">
      <c r="A959" s="7">
        <v>525005267</v>
      </c>
      <c r="B959" s="18" t="s">
        <v>2020</v>
      </c>
      <c r="C959" s="7">
        <v>88</v>
      </c>
      <c r="D959" s="7">
        <v>1980</v>
      </c>
      <c r="E959" s="7">
        <v>3.8</v>
      </c>
      <c r="F959" s="7"/>
      <c r="G959" s="7"/>
      <c r="H959" s="7"/>
      <c r="I959" s="7" t="s">
        <v>245</v>
      </c>
      <c r="J959" s="223"/>
    </row>
    <row r="960" spans="1:10" s="144" customFormat="1" ht="12.75" x14ac:dyDescent="0.25">
      <c r="A960" s="7">
        <v>563194800</v>
      </c>
      <c r="B960" s="18" t="s">
        <v>2021</v>
      </c>
      <c r="C960" s="7">
        <v>183</v>
      </c>
      <c r="D960" s="7">
        <v>29800</v>
      </c>
      <c r="E960" s="7">
        <v>8.6999999999999993</v>
      </c>
      <c r="F960" s="7"/>
      <c r="G960" s="7"/>
      <c r="H960" s="7"/>
      <c r="I960" s="7" t="s">
        <v>160</v>
      </c>
      <c r="J960" s="223"/>
    </row>
    <row r="961" spans="1:10" s="144" customFormat="1" ht="12.75" x14ac:dyDescent="0.25">
      <c r="A961" s="24">
        <v>525023120</v>
      </c>
      <c r="B961" s="75" t="s">
        <v>2022</v>
      </c>
      <c r="C961" s="10" t="s">
        <v>2023</v>
      </c>
      <c r="D961" s="10" t="s">
        <v>2024</v>
      </c>
      <c r="E961" s="10" t="s">
        <v>2025</v>
      </c>
      <c r="F961" s="7"/>
      <c r="G961" s="7"/>
      <c r="H961" s="7"/>
      <c r="I961" s="7" t="s">
        <v>43</v>
      </c>
      <c r="J961" s="223"/>
    </row>
    <row r="962" spans="1:10" s="144" customFormat="1" ht="12.75" x14ac:dyDescent="0.25">
      <c r="A962" s="7">
        <v>538008083</v>
      </c>
      <c r="B962" s="18" t="s">
        <v>2026</v>
      </c>
      <c r="C962" s="7">
        <v>193</v>
      </c>
      <c r="D962" s="7">
        <v>23749</v>
      </c>
      <c r="E962" s="7">
        <v>6.7</v>
      </c>
      <c r="F962" s="7"/>
      <c r="G962" s="7"/>
      <c r="H962" s="7"/>
      <c r="I962" s="7" t="s">
        <v>43</v>
      </c>
      <c r="J962" s="223"/>
    </row>
    <row r="963" spans="1:10" s="144" customFormat="1" ht="12.75" x14ac:dyDescent="0.25">
      <c r="A963" s="21">
        <v>525023134</v>
      </c>
      <c r="B963" s="75" t="s">
        <v>2027</v>
      </c>
      <c r="C963" s="10" t="s">
        <v>2028</v>
      </c>
      <c r="D963" s="10" t="s">
        <v>992</v>
      </c>
      <c r="E963" s="10" t="s">
        <v>2029</v>
      </c>
      <c r="F963" s="71"/>
      <c r="G963" s="71"/>
      <c r="H963" s="71"/>
      <c r="I963" s="74" t="s">
        <v>249</v>
      </c>
      <c r="J963" s="223"/>
    </row>
    <row r="964" spans="1:10" s="144" customFormat="1" ht="12.75" x14ac:dyDescent="0.25">
      <c r="A964" s="17">
        <v>525003273</v>
      </c>
      <c r="B964" s="68" t="s">
        <v>2030</v>
      </c>
      <c r="C964" s="7">
        <v>110</v>
      </c>
      <c r="D964" s="7">
        <v>6943</v>
      </c>
      <c r="E964" s="7">
        <v>6.9</v>
      </c>
      <c r="F964" s="71"/>
      <c r="G964" s="71"/>
      <c r="H964" s="71"/>
      <c r="I964" s="19" t="s">
        <v>45</v>
      </c>
      <c r="J964" s="223"/>
    </row>
    <row r="965" spans="1:10" s="144" customFormat="1" ht="12.75" x14ac:dyDescent="0.25">
      <c r="A965" s="17">
        <v>525015392</v>
      </c>
      <c r="B965" s="22" t="s">
        <v>2031</v>
      </c>
      <c r="C965" s="10">
        <v>97</v>
      </c>
      <c r="D965" s="10">
        <v>2961</v>
      </c>
      <c r="E965" s="25" t="s">
        <v>955</v>
      </c>
      <c r="F965" s="76"/>
      <c r="G965" s="76"/>
      <c r="H965" s="76"/>
      <c r="I965" s="82" t="s">
        <v>1584</v>
      </c>
      <c r="J965" s="223"/>
    </row>
    <row r="966" spans="1:10" s="144" customFormat="1" ht="12.75" x14ac:dyDescent="0.25">
      <c r="A966" s="17">
        <v>525500309</v>
      </c>
      <c r="B966" s="68" t="s">
        <v>2032</v>
      </c>
      <c r="C966" s="7">
        <v>36</v>
      </c>
      <c r="D966" s="7">
        <v>261</v>
      </c>
      <c r="E966" s="7">
        <v>3</v>
      </c>
      <c r="F966" s="71"/>
      <c r="G966" s="71"/>
      <c r="H966" s="71"/>
      <c r="I966" s="74" t="s">
        <v>2033</v>
      </c>
      <c r="J966" s="223"/>
    </row>
    <row r="967" spans="1:10" s="144" customFormat="1" ht="12.75" x14ac:dyDescent="0.25">
      <c r="A967" s="17">
        <v>636015873</v>
      </c>
      <c r="B967" s="75" t="s">
        <v>2034</v>
      </c>
      <c r="C967" s="10">
        <v>260</v>
      </c>
      <c r="D967" s="10">
        <v>39941</v>
      </c>
      <c r="E967" s="10">
        <v>8.4</v>
      </c>
      <c r="F967" s="71"/>
      <c r="G967" s="71"/>
      <c r="H967" s="71"/>
      <c r="I967" s="74" t="s">
        <v>268</v>
      </c>
      <c r="J967" s="223"/>
    </row>
    <row r="968" spans="1:10" s="144" customFormat="1" ht="12.75" x14ac:dyDescent="0.25">
      <c r="A968" s="21">
        <v>525121034</v>
      </c>
      <c r="B968" s="75" t="s">
        <v>2035</v>
      </c>
      <c r="C968" s="10" t="s">
        <v>3843</v>
      </c>
      <c r="D968" s="10">
        <v>3381</v>
      </c>
      <c r="E968" s="10" t="s">
        <v>983</v>
      </c>
      <c r="F968" s="76"/>
      <c r="G968" s="76"/>
      <c r="H968" s="76"/>
      <c r="I968" s="82" t="s">
        <v>96</v>
      </c>
      <c r="J968" s="223"/>
    </row>
    <row r="969" spans="1:10" s="144" customFormat="1" ht="12.75" x14ac:dyDescent="0.25">
      <c r="A969" s="7">
        <v>563165300</v>
      </c>
      <c r="B969" s="75" t="s">
        <v>2036</v>
      </c>
      <c r="C969" s="10" t="s">
        <v>2037</v>
      </c>
      <c r="D969" s="10">
        <v>3835</v>
      </c>
      <c r="E969" s="25" t="s">
        <v>178</v>
      </c>
      <c r="F969" s="76"/>
      <c r="G969" s="76"/>
      <c r="H969" s="76"/>
      <c r="I969" s="82" t="s">
        <v>1870</v>
      </c>
      <c r="J969" s="223"/>
    </row>
    <row r="970" spans="1:10" s="144" customFormat="1" ht="12.75" x14ac:dyDescent="0.25">
      <c r="A970" s="21">
        <v>357794000</v>
      </c>
      <c r="B970" s="75" t="s">
        <v>2038</v>
      </c>
      <c r="C970" s="10">
        <v>136.16</v>
      </c>
      <c r="D970" s="10">
        <v>8295</v>
      </c>
      <c r="E970" s="10">
        <v>7.5</v>
      </c>
      <c r="F970" s="76"/>
      <c r="G970" s="76"/>
      <c r="H970" s="76"/>
      <c r="I970" s="82" t="s">
        <v>273</v>
      </c>
      <c r="J970" s="223"/>
    </row>
    <row r="971" spans="1:10" s="144" customFormat="1" ht="12.75" x14ac:dyDescent="0.25">
      <c r="A971" s="24">
        <v>229281000</v>
      </c>
      <c r="B971" s="75" t="s">
        <v>2039</v>
      </c>
      <c r="C971" s="10">
        <v>189</v>
      </c>
      <c r="D971" s="10">
        <v>24185</v>
      </c>
      <c r="E971" s="10">
        <v>6.88</v>
      </c>
      <c r="F971" s="76"/>
      <c r="G971" s="76"/>
      <c r="H971" s="76"/>
      <c r="I971" s="82" t="s">
        <v>920</v>
      </c>
      <c r="J971" s="223"/>
    </row>
    <row r="972" spans="1:10" s="144" customFormat="1" ht="12.75" x14ac:dyDescent="0.25">
      <c r="A972" s="21">
        <v>355342000</v>
      </c>
      <c r="B972" s="22" t="s">
        <v>2040</v>
      </c>
      <c r="C972" s="10">
        <v>229</v>
      </c>
      <c r="D972" s="10">
        <v>51195</v>
      </c>
      <c r="E972" s="10">
        <v>7.8</v>
      </c>
      <c r="F972" s="76"/>
      <c r="G972" s="76"/>
      <c r="H972" s="76"/>
      <c r="I972" s="23" t="s">
        <v>259</v>
      </c>
      <c r="J972" s="223"/>
    </row>
    <row r="973" spans="1:10" s="144" customFormat="1" ht="12.75" x14ac:dyDescent="0.25">
      <c r="A973" s="21">
        <v>525020032</v>
      </c>
      <c r="B973" s="22" t="s">
        <v>5314</v>
      </c>
      <c r="C973" s="10" t="s">
        <v>1286</v>
      </c>
      <c r="D973" s="10" t="s">
        <v>2043</v>
      </c>
      <c r="E973" s="10" t="s">
        <v>2574</v>
      </c>
      <c r="F973" s="76"/>
      <c r="G973" s="76"/>
      <c r="H973" s="76"/>
      <c r="I973" s="23" t="s">
        <v>39</v>
      </c>
      <c r="J973" s="223"/>
    </row>
    <row r="974" spans="1:10" s="144" customFormat="1" ht="12.75" x14ac:dyDescent="0.25">
      <c r="A974" s="21">
        <v>525003097</v>
      </c>
      <c r="B974" s="22" t="s">
        <v>2042</v>
      </c>
      <c r="C974" s="10" t="s">
        <v>2041</v>
      </c>
      <c r="D974" s="10" t="s">
        <v>920</v>
      </c>
      <c r="E974" s="10" t="s">
        <v>920</v>
      </c>
      <c r="F974" s="76"/>
      <c r="G974" s="76"/>
      <c r="H974" s="76"/>
      <c r="I974" s="23" t="s">
        <v>920</v>
      </c>
      <c r="J974" s="223"/>
    </row>
    <row r="975" spans="1:10" s="144" customFormat="1" ht="12.75" x14ac:dyDescent="0.25">
      <c r="A975" s="21">
        <v>372728000</v>
      </c>
      <c r="B975" s="22" t="s">
        <v>2044</v>
      </c>
      <c r="C975" s="10">
        <v>130.72999999999999</v>
      </c>
      <c r="D975" s="10">
        <v>9487</v>
      </c>
      <c r="E975" s="10">
        <v>4.7</v>
      </c>
      <c r="F975" s="76"/>
      <c r="G975" s="76"/>
      <c r="H975" s="76"/>
      <c r="I975" s="23" t="s">
        <v>262</v>
      </c>
      <c r="J975" s="223"/>
    </row>
    <row r="976" spans="1:10" s="144" customFormat="1" ht="12.75" x14ac:dyDescent="0.25">
      <c r="A976" s="21">
        <v>525003605</v>
      </c>
      <c r="B976" s="75" t="s">
        <v>2045</v>
      </c>
      <c r="C976" s="10" t="s">
        <v>2046</v>
      </c>
      <c r="D976" s="10" t="s">
        <v>2047</v>
      </c>
      <c r="E976" s="10" t="s">
        <v>2048</v>
      </c>
      <c r="F976" s="76"/>
      <c r="G976" s="76"/>
      <c r="H976" s="76"/>
      <c r="I976" s="23" t="s">
        <v>153</v>
      </c>
      <c r="J976" s="223"/>
    </row>
    <row r="977" spans="1:10" s="144" customFormat="1" ht="12.75" x14ac:dyDescent="0.25">
      <c r="A977" s="21">
        <v>525023305</v>
      </c>
      <c r="B977" s="22" t="s">
        <v>2050</v>
      </c>
      <c r="C977" s="10" t="s">
        <v>2049</v>
      </c>
      <c r="D977" s="10" t="s">
        <v>1704</v>
      </c>
      <c r="E977" s="10" t="s">
        <v>1056</v>
      </c>
      <c r="F977" s="76"/>
      <c r="G977" s="76"/>
      <c r="H977" s="76"/>
      <c r="I977" s="23" t="s">
        <v>46</v>
      </c>
      <c r="J977" s="223"/>
    </row>
    <row r="978" spans="1:10" s="144" customFormat="1" ht="12.75" x14ac:dyDescent="0.25">
      <c r="A978" s="24">
        <v>525201037</v>
      </c>
      <c r="B978" s="88" t="s">
        <v>2052</v>
      </c>
      <c r="C978" s="10" t="s">
        <v>2053</v>
      </c>
      <c r="D978" s="10" t="s">
        <v>2054</v>
      </c>
      <c r="E978" s="10" t="s">
        <v>564</v>
      </c>
      <c r="F978" s="76"/>
      <c r="G978" s="76"/>
      <c r="H978" s="76"/>
      <c r="I978" s="23" t="s">
        <v>39</v>
      </c>
      <c r="J978" s="223"/>
    </row>
    <row r="979" spans="1:10" s="144" customFormat="1" ht="12.75" x14ac:dyDescent="0.25">
      <c r="A979" s="21">
        <v>525200963</v>
      </c>
      <c r="B979" s="22" t="s">
        <v>2055</v>
      </c>
      <c r="C979" s="10" t="s">
        <v>554</v>
      </c>
      <c r="D979" s="10" t="s">
        <v>2056</v>
      </c>
      <c r="E979" s="10" t="s">
        <v>2057</v>
      </c>
      <c r="F979" s="76"/>
      <c r="G979" s="76"/>
      <c r="H979" s="76"/>
      <c r="I979" s="23" t="s">
        <v>245</v>
      </c>
      <c r="J979" s="223"/>
    </row>
    <row r="980" spans="1:10" s="144" customFormat="1" ht="12.75" x14ac:dyDescent="0.25">
      <c r="A980" s="21">
        <v>525501748</v>
      </c>
      <c r="B980" s="22" t="s">
        <v>2397</v>
      </c>
      <c r="C980" s="10" t="s">
        <v>216</v>
      </c>
      <c r="D980" s="10" t="s">
        <v>2060</v>
      </c>
      <c r="E980" s="25" t="s">
        <v>2061</v>
      </c>
      <c r="F980" s="76"/>
      <c r="G980" s="76"/>
      <c r="H980" s="76"/>
      <c r="I980" s="23" t="s">
        <v>150</v>
      </c>
      <c r="J980" s="223"/>
    </row>
    <row r="981" spans="1:10" s="144" customFormat="1" ht="12.75" x14ac:dyDescent="0.25">
      <c r="A981" s="7">
        <v>525010385</v>
      </c>
      <c r="B981" s="22" t="s">
        <v>3052</v>
      </c>
      <c r="C981" s="10" t="s">
        <v>2062</v>
      </c>
      <c r="D981" s="7">
        <v>2232</v>
      </c>
      <c r="E981" s="20" t="s">
        <v>1660</v>
      </c>
      <c r="F981" s="10"/>
      <c r="G981" s="10"/>
      <c r="H981" s="10"/>
      <c r="I981" s="23" t="s">
        <v>92</v>
      </c>
      <c r="J981" s="223"/>
    </row>
    <row r="982" spans="1:10" s="144" customFormat="1" ht="12.75" x14ac:dyDescent="0.25">
      <c r="A982" s="21">
        <v>538007169</v>
      </c>
      <c r="B982" s="75" t="s">
        <v>2063</v>
      </c>
      <c r="C982" s="10">
        <v>182</v>
      </c>
      <c r="D982" s="99">
        <v>24123</v>
      </c>
      <c r="E982" s="20" t="s">
        <v>2064</v>
      </c>
      <c r="F982" s="76"/>
      <c r="G982" s="76"/>
      <c r="H982" s="76"/>
      <c r="I982" s="23" t="s">
        <v>150</v>
      </c>
      <c r="J982" s="223"/>
    </row>
    <row r="983" spans="1:10" s="144" customFormat="1" ht="12.75" x14ac:dyDescent="0.25">
      <c r="A983" s="21">
        <v>352001738</v>
      </c>
      <c r="B983" s="22" t="s">
        <v>2065</v>
      </c>
      <c r="C983" s="10">
        <v>112</v>
      </c>
      <c r="D983" s="92">
        <v>5359</v>
      </c>
      <c r="E983" s="93">
        <v>5.2</v>
      </c>
      <c r="F983" s="76"/>
      <c r="G983" s="76"/>
      <c r="H983" s="76"/>
      <c r="I983" s="23" t="s">
        <v>160</v>
      </c>
      <c r="J983" s="223"/>
    </row>
    <row r="984" spans="1:10" s="144" customFormat="1" ht="12.75" x14ac:dyDescent="0.25">
      <c r="A984" s="21">
        <v>538008582</v>
      </c>
      <c r="B984" s="75" t="s">
        <v>2066</v>
      </c>
      <c r="C984" s="10" t="s">
        <v>2067</v>
      </c>
      <c r="D984" s="10">
        <v>29723</v>
      </c>
      <c r="E984" s="10" t="s">
        <v>782</v>
      </c>
      <c r="F984" s="76"/>
      <c r="G984" s="76"/>
      <c r="H984" s="76"/>
      <c r="I984" s="23" t="s">
        <v>1895</v>
      </c>
      <c r="J984" s="223"/>
    </row>
    <row r="985" spans="1:10" s="144" customFormat="1" ht="12.75" x14ac:dyDescent="0.25">
      <c r="A985" s="21">
        <v>636021318</v>
      </c>
      <c r="B985" s="22" t="s">
        <v>2068</v>
      </c>
      <c r="C985" s="10">
        <v>199</v>
      </c>
      <c r="D985" s="10">
        <v>35812</v>
      </c>
      <c r="E985" s="10">
        <v>10.5</v>
      </c>
      <c r="F985" s="76"/>
      <c r="G985" s="76"/>
      <c r="H985" s="76"/>
      <c r="I985" s="23" t="s">
        <v>71</v>
      </c>
      <c r="J985" s="223"/>
    </row>
    <row r="986" spans="1:10" s="144" customFormat="1" ht="12.75" x14ac:dyDescent="0.25">
      <c r="A986" s="21">
        <v>352004908</v>
      </c>
      <c r="B986" s="22" t="s">
        <v>2069</v>
      </c>
      <c r="C986" s="10">
        <v>183</v>
      </c>
      <c r="D986" s="10">
        <v>26634</v>
      </c>
      <c r="E986" s="10">
        <v>6.5</v>
      </c>
      <c r="F986" s="76"/>
      <c r="G986" s="76"/>
      <c r="H986" s="76"/>
      <c r="I986" s="23" t="s">
        <v>71</v>
      </c>
      <c r="J986" s="223"/>
    </row>
    <row r="987" spans="1:10" s="144" customFormat="1" ht="12.75" x14ac:dyDescent="0.25">
      <c r="A987" s="21">
        <v>525500784</v>
      </c>
      <c r="B987" s="22" t="s">
        <v>2070</v>
      </c>
      <c r="C987" s="10" t="s">
        <v>2071</v>
      </c>
      <c r="D987" s="10" t="s">
        <v>2072</v>
      </c>
      <c r="E987" s="10" t="s">
        <v>2073</v>
      </c>
      <c r="F987" s="76"/>
      <c r="G987" s="76"/>
      <c r="H987" s="76"/>
      <c r="I987" s="23" t="s">
        <v>46</v>
      </c>
      <c r="J987" s="223"/>
    </row>
    <row r="988" spans="1:10" s="144" customFormat="1" ht="12.75" x14ac:dyDescent="0.25">
      <c r="A988" s="21">
        <v>525501486</v>
      </c>
      <c r="B988" s="88" t="s">
        <v>2074</v>
      </c>
      <c r="C988" s="10" t="s">
        <v>2075</v>
      </c>
      <c r="D988" s="10" t="s">
        <v>2076</v>
      </c>
      <c r="E988" s="10" t="s">
        <v>626</v>
      </c>
      <c r="F988" s="89"/>
      <c r="G988" s="89"/>
      <c r="H988" s="89"/>
      <c r="I988" s="90" t="s">
        <v>46</v>
      </c>
      <c r="J988" s="223"/>
    </row>
    <row r="989" spans="1:10" s="144" customFormat="1" ht="12.75" x14ac:dyDescent="0.25">
      <c r="A989" s="21">
        <v>525016597</v>
      </c>
      <c r="B989" s="88" t="s">
        <v>2077</v>
      </c>
      <c r="C989" s="10" t="s">
        <v>2078</v>
      </c>
      <c r="D989" s="10" t="s">
        <v>2079</v>
      </c>
      <c r="E989" s="10" t="s">
        <v>2080</v>
      </c>
      <c r="F989" s="89"/>
      <c r="G989" s="89"/>
      <c r="H989" s="89"/>
      <c r="I989" s="90" t="s">
        <v>46</v>
      </c>
      <c r="J989" s="223"/>
    </row>
    <row r="990" spans="1:10" s="144" customFormat="1" ht="12.75" x14ac:dyDescent="0.25">
      <c r="A990" s="21">
        <v>525500315</v>
      </c>
      <c r="B990" s="88" t="s">
        <v>2081</v>
      </c>
      <c r="C990" s="10" t="s">
        <v>2017</v>
      </c>
      <c r="D990" s="10" t="s">
        <v>2082</v>
      </c>
      <c r="E990" s="10" t="s">
        <v>2083</v>
      </c>
      <c r="F990" s="89"/>
      <c r="G990" s="89"/>
      <c r="H990" s="89"/>
      <c r="I990" s="90" t="s">
        <v>92</v>
      </c>
      <c r="J990" s="223"/>
    </row>
    <row r="991" spans="1:10" s="144" customFormat="1" ht="12.75" x14ac:dyDescent="0.25">
      <c r="A991" s="21">
        <v>525501868</v>
      </c>
      <c r="B991" s="22" t="s">
        <v>2087</v>
      </c>
      <c r="C991" s="10" t="s">
        <v>251</v>
      </c>
      <c r="D991" s="10" t="s">
        <v>2088</v>
      </c>
      <c r="E991" s="10" t="s">
        <v>2089</v>
      </c>
      <c r="F991" s="89"/>
      <c r="G991" s="89"/>
      <c r="H991" s="89"/>
      <c r="I991" s="90" t="s">
        <v>46</v>
      </c>
      <c r="J991" s="223"/>
    </row>
    <row r="992" spans="1:10" s="144" customFormat="1" ht="12.75" x14ac:dyDescent="0.25">
      <c r="A992" s="21">
        <v>538009902</v>
      </c>
      <c r="B992" s="88" t="s">
        <v>2084</v>
      </c>
      <c r="C992" s="10">
        <v>183</v>
      </c>
      <c r="D992" s="10">
        <v>28160</v>
      </c>
      <c r="E992" s="10">
        <v>9.6999999999999993</v>
      </c>
      <c r="F992" s="89"/>
      <c r="G992" s="89"/>
      <c r="H992" s="89"/>
      <c r="I992" s="90" t="s">
        <v>1895</v>
      </c>
      <c r="J992" s="223"/>
    </row>
    <row r="993" spans="1:10" s="144" customFormat="1" ht="12.75" x14ac:dyDescent="0.25">
      <c r="A993" s="21">
        <v>525201448</v>
      </c>
      <c r="B993" s="88" t="s">
        <v>2085</v>
      </c>
      <c r="C993" s="10" t="s">
        <v>1282</v>
      </c>
      <c r="D993" s="10" t="s">
        <v>1283</v>
      </c>
      <c r="E993" s="10" t="s">
        <v>1284</v>
      </c>
      <c r="F993" s="89"/>
      <c r="G993" s="89"/>
      <c r="H993" s="89"/>
      <c r="I993" s="90" t="s">
        <v>2086</v>
      </c>
      <c r="J993" s="223"/>
    </row>
    <row r="994" spans="1:10" s="144" customFormat="1" ht="12.75" x14ac:dyDescent="0.25">
      <c r="A994" s="21">
        <v>525500524</v>
      </c>
      <c r="B994" s="22" t="s">
        <v>2090</v>
      </c>
      <c r="C994" s="10" t="s">
        <v>2091</v>
      </c>
      <c r="D994" s="10" t="s">
        <v>2092</v>
      </c>
      <c r="E994" s="10" t="s">
        <v>2093</v>
      </c>
      <c r="F994" s="89"/>
      <c r="G994" s="89"/>
      <c r="H994" s="89"/>
      <c r="I994" s="23" t="s">
        <v>249</v>
      </c>
      <c r="J994" s="223"/>
    </row>
    <row r="995" spans="1:10" s="144" customFormat="1" ht="12.75" x14ac:dyDescent="0.25">
      <c r="A995" s="21">
        <v>352828000</v>
      </c>
      <c r="B995" s="88" t="s">
        <v>2094</v>
      </c>
      <c r="C995" s="10">
        <v>127</v>
      </c>
      <c r="D995" s="10">
        <v>9963</v>
      </c>
      <c r="E995" s="10">
        <v>5.7</v>
      </c>
      <c r="F995" s="89"/>
      <c r="G995" s="89"/>
      <c r="H995" s="89"/>
      <c r="I995" s="90" t="s">
        <v>262</v>
      </c>
      <c r="J995" s="223"/>
    </row>
    <row r="996" spans="1:10" s="144" customFormat="1" ht="12.75" x14ac:dyDescent="0.25">
      <c r="A996" s="21">
        <v>574000680</v>
      </c>
      <c r="B996" s="88" t="s">
        <v>2095</v>
      </c>
      <c r="C996" s="10">
        <v>136</v>
      </c>
      <c r="D996" s="10">
        <v>8333</v>
      </c>
      <c r="E996" s="10">
        <v>8.8000000000000007</v>
      </c>
      <c r="F996" s="89"/>
      <c r="G996" s="89"/>
      <c r="H996" s="89"/>
      <c r="I996" s="90" t="s">
        <v>2096</v>
      </c>
      <c r="J996" s="223"/>
    </row>
    <row r="997" spans="1:10" s="144" customFormat="1" ht="12.75" x14ac:dyDescent="0.25">
      <c r="A997" s="21">
        <v>314783000</v>
      </c>
      <c r="B997" s="88" t="s">
        <v>2097</v>
      </c>
      <c r="C997" s="10">
        <v>153</v>
      </c>
      <c r="D997" s="10">
        <v>15148</v>
      </c>
      <c r="E997" s="10">
        <v>6.8</v>
      </c>
      <c r="F997" s="89"/>
      <c r="G997" s="89"/>
      <c r="H997" s="89"/>
      <c r="I997" s="90" t="s">
        <v>71</v>
      </c>
      <c r="J997" s="223"/>
    </row>
    <row r="998" spans="1:10" s="144" customFormat="1" ht="12.75" x14ac:dyDescent="0.25">
      <c r="A998" s="21">
        <v>525023149</v>
      </c>
      <c r="B998" s="88" t="s">
        <v>2098</v>
      </c>
      <c r="C998" s="10">
        <v>106</v>
      </c>
      <c r="D998" s="10">
        <v>3866</v>
      </c>
      <c r="E998" s="10">
        <v>4.2</v>
      </c>
      <c r="F998" s="89"/>
      <c r="G998" s="89"/>
      <c r="H998" s="89"/>
      <c r="I998" s="90" t="s">
        <v>1707</v>
      </c>
      <c r="J998" s="223"/>
    </row>
    <row r="999" spans="1:10" s="144" customFormat="1" ht="12.75" x14ac:dyDescent="0.25">
      <c r="A999" s="21">
        <v>525301756</v>
      </c>
      <c r="B999" s="88" t="s">
        <v>2099</v>
      </c>
      <c r="C999" s="10" t="s">
        <v>1798</v>
      </c>
      <c r="D999" s="10" t="s">
        <v>2100</v>
      </c>
      <c r="E999" s="10" t="s">
        <v>2101</v>
      </c>
      <c r="F999" s="89"/>
      <c r="G999" s="89"/>
      <c r="H999" s="89"/>
      <c r="I999" s="90" t="s">
        <v>1707</v>
      </c>
      <c r="J999" s="223"/>
    </row>
    <row r="1000" spans="1:10" s="144" customFormat="1" ht="12.75" x14ac:dyDescent="0.25">
      <c r="A1000" s="91">
        <v>563186100</v>
      </c>
      <c r="B1000" s="88" t="s">
        <v>2102</v>
      </c>
      <c r="C1000" s="10">
        <v>184</v>
      </c>
      <c r="D1000" s="10">
        <v>23673</v>
      </c>
      <c r="E1000" s="10">
        <v>7.5</v>
      </c>
      <c r="F1000" s="89"/>
      <c r="G1000" s="89"/>
      <c r="H1000" s="89"/>
      <c r="I1000" s="90" t="s">
        <v>920</v>
      </c>
      <c r="J1000" s="223"/>
    </row>
    <row r="1001" spans="1:10" s="144" customFormat="1" ht="12.75" x14ac:dyDescent="0.25">
      <c r="A1001" s="21">
        <v>525022291</v>
      </c>
      <c r="B1001" s="88" t="s">
        <v>2103</v>
      </c>
      <c r="C1001" s="10" t="s">
        <v>2104</v>
      </c>
      <c r="D1001" s="10" t="s">
        <v>2105</v>
      </c>
      <c r="E1001" s="10" t="s">
        <v>700</v>
      </c>
      <c r="F1001" s="89"/>
      <c r="G1001" s="89"/>
      <c r="H1001" s="89"/>
      <c r="I1001" s="90" t="s">
        <v>165</v>
      </c>
      <c r="J1001" s="223"/>
    </row>
    <row r="1002" spans="1:10" s="144" customFormat="1" ht="12.75" x14ac:dyDescent="0.25">
      <c r="A1002" s="21">
        <v>525401080</v>
      </c>
      <c r="B1002" s="88" t="s">
        <v>2106</v>
      </c>
      <c r="C1002" s="10">
        <v>47</v>
      </c>
      <c r="D1002" s="10">
        <v>398</v>
      </c>
      <c r="E1002" s="10">
        <v>3.2</v>
      </c>
      <c r="F1002" s="89"/>
      <c r="G1002" s="89"/>
      <c r="H1002" s="89"/>
      <c r="I1002" s="90" t="s">
        <v>46</v>
      </c>
      <c r="J1002" s="223"/>
    </row>
    <row r="1003" spans="1:10" s="144" customFormat="1" ht="12.75" x14ac:dyDescent="0.25">
      <c r="A1003" s="21">
        <v>533000983</v>
      </c>
      <c r="B1003" s="88" t="s">
        <v>2107</v>
      </c>
      <c r="C1003" s="10">
        <v>31</v>
      </c>
      <c r="D1003" s="7">
        <v>281</v>
      </c>
      <c r="E1003" s="7">
        <v>3.1</v>
      </c>
      <c r="F1003" s="89"/>
      <c r="G1003" s="89"/>
      <c r="H1003" s="89"/>
      <c r="I1003" s="90" t="s">
        <v>273</v>
      </c>
      <c r="J1003" s="223"/>
    </row>
    <row r="1004" spans="1:10" s="144" customFormat="1" ht="12.75" x14ac:dyDescent="0.25">
      <c r="A1004" s="21">
        <v>352001311</v>
      </c>
      <c r="B1004" s="88" t="s">
        <v>2108</v>
      </c>
      <c r="C1004" s="10">
        <v>139</v>
      </c>
      <c r="D1004" s="92">
        <v>7485</v>
      </c>
      <c r="E1004" s="93" t="s">
        <v>917</v>
      </c>
      <c r="F1004" s="89"/>
      <c r="G1004" s="89"/>
      <c r="H1004" s="89"/>
      <c r="I1004" s="90" t="s">
        <v>2096</v>
      </c>
      <c r="J1004" s="223"/>
    </row>
    <row r="1005" spans="1:10" s="144" customFormat="1" ht="12.75" x14ac:dyDescent="0.25">
      <c r="A1005" s="21">
        <v>525015898</v>
      </c>
      <c r="B1005" s="88" t="s">
        <v>2110</v>
      </c>
      <c r="C1005" s="105" t="s">
        <v>746</v>
      </c>
      <c r="D1005" s="105" t="s">
        <v>2109</v>
      </c>
      <c r="E1005" s="105" t="s">
        <v>379</v>
      </c>
      <c r="F1005" s="89"/>
      <c r="G1005" s="89"/>
      <c r="H1005" s="89"/>
      <c r="I1005" s="23" t="s">
        <v>245</v>
      </c>
      <c r="J1005" s="223"/>
    </row>
    <row r="1006" spans="1:10" s="144" customFormat="1" ht="12.75" x14ac:dyDescent="0.25">
      <c r="A1006" s="21">
        <v>525009170</v>
      </c>
      <c r="B1006" s="88" t="s">
        <v>2111</v>
      </c>
      <c r="C1006" s="105">
        <v>153</v>
      </c>
      <c r="D1006" s="105">
        <v>10527</v>
      </c>
      <c r="E1006" s="105" t="s">
        <v>819</v>
      </c>
      <c r="F1006" s="89"/>
      <c r="G1006" s="89"/>
      <c r="H1006" s="89"/>
      <c r="I1006" s="90" t="s">
        <v>96</v>
      </c>
      <c r="J1006" s="223"/>
    </row>
    <row r="1007" spans="1:10" s="144" customFormat="1" ht="12.75" x14ac:dyDescent="0.25">
      <c r="A1007" s="21">
        <v>525201794</v>
      </c>
      <c r="B1007" s="88" t="s">
        <v>2112</v>
      </c>
      <c r="C1007" s="10">
        <v>99</v>
      </c>
      <c r="D1007" s="10">
        <v>2868</v>
      </c>
      <c r="E1007" s="10">
        <v>2.7</v>
      </c>
      <c r="F1007" s="89"/>
      <c r="G1007" s="89"/>
      <c r="H1007" s="89"/>
      <c r="I1007" s="90" t="s">
        <v>65</v>
      </c>
      <c r="J1007" s="223"/>
    </row>
    <row r="1008" spans="1:10" s="144" customFormat="1" ht="12.75" x14ac:dyDescent="0.25">
      <c r="A1008" s="21">
        <v>525012368</v>
      </c>
      <c r="B1008" s="88" t="s">
        <v>2113</v>
      </c>
      <c r="C1008" s="10" t="s">
        <v>2114</v>
      </c>
      <c r="D1008" s="10" t="s">
        <v>2115</v>
      </c>
      <c r="E1008" s="10" t="s">
        <v>243</v>
      </c>
      <c r="F1008" s="89"/>
      <c r="G1008" s="89"/>
      <c r="H1008" s="89"/>
      <c r="I1008" s="90" t="s">
        <v>249</v>
      </c>
      <c r="J1008" s="223"/>
    </row>
    <row r="1009" spans="1:10" s="144" customFormat="1" ht="12.75" x14ac:dyDescent="0.25">
      <c r="A1009" s="20">
        <v>525003172</v>
      </c>
      <c r="B1009" s="18" t="s">
        <v>2116</v>
      </c>
      <c r="C1009" s="7" t="s">
        <v>554</v>
      </c>
      <c r="D1009" s="7" t="s">
        <v>2117</v>
      </c>
      <c r="E1009" s="7" t="s">
        <v>2564</v>
      </c>
      <c r="F1009" s="89"/>
      <c r="G1009" s="89"/>
      <c r="H1009" s="89"/>
      <c r="I1009" s="90" t="s">
        <v>43</v>
      </c>
      <c r="J1009" s="223"/>
    </row>
    <row r="1010" spans="1:10" s="144" customFormat="1" ht="12.75" x14ac:dyDescent="0.25">
      <c r="A1010" s="21">
        <v>525121056</v>
      </c>
      <c r="B1010" s="22" t="s">
        <v>2118</v>
      </c>
      <c r="C1010" s="10">
        <v>114</v>
      </c>
      <c r="D1010" s="10">
        <v>5567</v>
      </c>
      <c r="E1010" s="10" t="s">
        <v>106</v>
      </c>
      <c r="F1010" s="76"/>
      <c r="G1010" s="76"/>
      <c r="H1010" s="76"/>
      <c r="I1010" s="23" t="s">
        <v>96</v>
      </c>
      <c r="J1010" s="223"/>
    </row>
    <row r="1011" spans="1:10" s="144" customFormat="1" ht="12.75" x14ac:dyDescent="0.25">
      <c r="A1011" s="21">
        <v>525111004</v>
      </c>
      <c r="B1011" s="22" t="s">
        <v>2119</v>
      </c>
      <c r="C1011" s="10">
        <v>145</v>
      </c>
      <c r="D1011" s="10">
        <v>11431</v>
      </c>
      <c r="E1011" s="10">
        <v>8.8000000000000007</v>
      </c>
      <c r="F1011" s="76"/>
      <c r="G1011" s="76"/>
      <c r="H1011" s="76"/>
      <c r="I1011" s="23" t="s">
        <v>96</v>
      </c>
      <c r="J1011" s="223"/>
    </row>
    <row r="1012" spans="1:10" s="144" customFormat="1" ht="12.75" x14ac:dyDescent="0.25">
      <c r="A1012" s="21">
        <v>525009170</v>
      </c>
      <c r="B1012" s="88" t="s">
        <v>2120</v>
      </c>
      <c r="C1012" s="89">
        <v>153</v>
      </c>
      <c r="D1012" s="89">
        <v>10527</v>
      </c>
      <c r="E1012" s="89">
        <v>5.7</v>
      </c>
      <c r="F1012" s="89"/>
      <c r="G1012" s="89"/>
      <c r="H1012" s="89"/>
      <c r="I1012" s="23" t="s">
        <v>96</v>
      </c>
      <c r="J1012" s="223"/>
    </row>
    <row r="1013" spans="1:10" s="144" customFormat="1" ht="12.75" x14ac:dyDescent="0.25">
      <c r="A1013" s="21">
        <v>255915561</v>
      </c>
      <c r="B1013" s="88" t="s">
        <v>2121</v>
      </c>
      <c r="C1013" s="89">
        <v>135</v>
      </c>
      <c r="D1013" s="89">
        <v>10421</v>
      </c>
      <c r="E1013" s="89">
        <v>6.2</v>
      </c>
      <c r="F1013" s="89"/>
      <c r="G1013" s="89"/>
      <c r="H1013" s="89"/>
      <c r="I1013" s="90" t="s">
        <v>40</v>
      </c>
      <c r="J1013" s="223"/>
    </row>
    <row r="1014" spans="1:10" s="144" customFormat="1" ht="12.75" x14ac:dyDescent="0.25">
      <c r="A1014" s="21">
        <v>351539000</v>
      </c>
      <c r="B1014" s="18" t="s">
        <v>2122</v>
      </c>
      <c r="C1014" s="106">
        <v>229</v>
      </c>
      <c r="D1014" s="106">
        <v>43431</v>
      </c>
      <c r="E1014" s="106">
        <v>7.64</v>
      </c>
      <c r="F1014" s="106"/>
      <c r="G1014" s="106"/>
      <c r="H1014" s="106"/>
      <c r="I1014" s="7" t="s">
        <v>154</v>
      </c>
      <c r="J1014" s="223"/>
    </row>
    <row r="1015" spans="1:10" s="144" customFormat="1" ht="12.75" x14ac:dyDescent="0.25">
      <c r="A1015" s="21">
        <v>525401051</v>
      </c>
      <c r="B1015" s="88" t="s">
        <v>2123</v>
      </c>
      <c r="C1015" s="89" t="s">
        <v>2028</v>
      </c>
      <c r="D1015" s="89" t="s">
        <v>1194</v>
      </c>
      <c r="E1015" s="89" t="s">
        <v>2124</v>
      </c>
      <c r="F1015" s="89"/>
      <c r="G1015" s="89"/>
      <c r="H1015" s="89"/>
      <c r="I1015" s="7" t="s">
        <v>1036</v>
      </c>
      <c r="J1015" s="223"/>
    </row>
    <row r="1016" spans="1:10" s="144" customFormat="1" ht="12.75" x14ac:dyDescent="0.25">
      <c r="A1016" s="21">
        <v>525024049</v>
      </c>
      <c r="B1016" s="88" t="s">
        <v>2125</v>
      </c>
      <c r="C1016" s="89" t="s">
        <v>627</v>
      </c>
      <c r="D1016" s="89" t="s">
        <v>2126</v>
      </c>
      <c r="E1016" s="89" t="s">
        <v>2127</v>
      </c>
      <c r="F1016" s="89"/>
      <c r="G1016" s="89"/>
      <c r="H1016" s="89"/>
      <c r="I1016" s="90" t="s">
        <v>249</v>
      </c>
      <c r="J1016" s="223"/>
    </row>
    <row r="1017" spans="1:10" s="144" customFormat="1" ht="12.75" x14ac:dyDescent="0.25">
      <c r="A1017" s="21">
        <v>525201442</v>
      </c>
      <c r="B1017" s="88" t="s">
        <v>2128</v>
      </c>
      <c r="C1017" s="89" t="s">
        <v>2129</v>
      </c>
      <c r="D1017" s="89" t="s">
        <v>2130</v>
      </c>
      <c r="E1017" s="89" t="s">
        <v>2131</v>
      </c>
      <c r="F1017" s="89"/>
      <c r="G1017" s="89"/>
      <c r="H1017" s="89"/>
      <c r="I1017" s="90" t="s">
        <v>92</v>
      </c>
      <c r="J1017" s="223"/>
    </row>
    <row r="1018" spans="1:10" s="144" customFormat="1" ht="12.75" x14ac:dyDescent="0.25">
      <c r="A1018" s="21">
        <v>525119187</v>
      </c>
      <c r="B1018" s="88" t="s">
        <v>2132</v>
      </c>
      <c r="C1018" s="89">
        <v>148</v>
      </c>
      <c r="D1018" s="89">
        <v>11228</v>
      </c>
      <c r="E1018" s="89">
        <v>9.3000000000000007</v>
      </c>
      <c r="F1018" s="89"/>
      <c r="G1018" s="89"/>
      <c r="H1018" s="89"/>
      <c r="I1018" s="90" t="s">
        <v>353</v>
      </c>
      <c r="J1018" s="223"/>
    </row>
    <row r="1019" spans="1:10" s="144" customFormat="1" ht="12.75" x14ac:dyDescent="0.25">
      <c r="A1019" s="7">
        <v>525500935</v>
      </c>
      <c r="B1019" s="88" t="s">
        <v>2133</v>
      </c>
      <c r="C1019" s="89">
        <v>35</v>
      </c>
      <c r="D1019" s="89">
        <v>250</v>
      </c>
      <c r="E1019" s="107" t="s">
        <v>764</v>
      </c>
      <c r="F1019" s="89"/>
      <c r="G1019" s="89"/>
      <c r="H1019" s="89"/>
      <c r="I1019" s="90" t="s">
        <v>183</v>
      </c>
      <c r="J1019" s="223"/>
    </row>
    <row r="1020" spans="1:10" s="144" customFormat="1" ht="12.75" x14ac:dyDescent="0.25">
      <c r="A1020" s="21">
        <v>525019095</v>
      </c>
      <c r="B1020" s="88" t="s">
        <v>2134</v>
      </c>
      <c r="C1020" s="89">
        <v>111</v>
      </c>
      <c r="D1020" s="89">
        <v>4285</v>
      </c>
      <c r="E1020" s="89">
        <v>4.4000000000000004</v>
      </c>
      <c r="F1020" s="89"/>
      <c r="G1020" s="89"/>
      <c r="H1020" s="89"/>
      <c r="I1020" s="90" t="s">
        <v>43</v>
      </c>
      <c r="J1020" s="223"/>
    </row>
    <row r="1021" spans="1:10" s="144" customFormat="1" ht="12.75" x14ac:dyDescent="0.25">
      <c r="A1021" s="21">
        <v>525011030</v>
      </c>
      <c r="B1021" s="88" t="s">
        <v>2135</v>
      </c>
      <c r="C1021" s="89" t="s">
        <v>2136</v>
      </c>
      <c r="D1021" s="89" t="s">
        <v>2137</v>
      </c>
      <c r="E1021" s="89" t="s">
        <v>2138</v>
      </c>
      <c r="F1021" s="89"/>
      <c r="G1021" s="89"/>
      <c r="H1021" s="89"/>
      <c r="I1021" s="90" t="s">
        <v>262</v>
      </c>
      <c r="J1021" s="223"/>
    </row>
    <row r="1022" spans="1:10" s="144" customFormat="1" ht="12.75" x14ac:dyDescent="0.25">
      <c r="A1022" s="21">
        <v>477990400</v>
      </c>
      <c r="B1022" s="88" t="s">
        <v>2139</v>
      </c>
      <c r="C1022" s="89">
        <v>189</v>
      </c>
      <c r="D1022" s="89">
        <v>30988</v>
      </c>
      <c r="E1022" s="89">
        <v>6.1</v>
      </c>
      <c r="F1022" s="89"/>
      <c r="G1022" s="89"/>
      <c r="H1022" s="89"/>
      <c r="I1022" s="90" t="s">
        <v>273</v>
      </c>
      <c r="J1022" s="223"/>
    </row>
    <row r="1023" spans="1:10" s="144" customFormat="1" ht="12.75" x14ac:dyDescent="0.25">
      <c r="A1023" s="21">
        <v>538010367</v>
      </c>
      <c r="B1023" s="88" t="s">
        <v>2140</v>
      </c>
      <c r="C1023" s="89">
        <v>199</v>
      </c>
      <c r="D1023" s="89">
        <v>36353</v>
      </c>
      <c r="E1023" s="89">
        <v>11.6</v>
      </c>
      <c r="F1023" s="89"/>
      <c r="G1023" s="89"/>
      <c r="H1023" s="89"/>
      <c r="I1023" s="90" t="s">
        <v>2141</v>
      </c>
      <c r="J1023" s="223"/>
    </row>
    <row r="1024" spans="1:10" s="144" customFormat="1" ht="12.75" x14ac:dyDescent="0.25">
      <c r="A1024" s="21">
        <v>372151000</v>
      </c>
      <c r="B1024" s="22" t="s">
        <v>2142</v>
      </c>
      <c r="C1024" s="10">
        <v>183</v>
      </c>
      <c r="D1024" s="10">
        <v>30310</v>
      </c>
      <c r="E1024" s="10">
        <v>7.5</v>
      </c>
      <c r="F1024" s="76"/>
      <c r="G1024" s="76"/>
      <c r="H1024" s="76"/>
      <c r="I1024" s="23" t="s">
        <v>273</v>
      </c>
      <c r="J1024" s="223"/>
    </row>
    <row r="1025" spans="1:10" s="144" customFormat="1" ht="12.75" x14ac:dyDescent="0.25">
      <c r="A1025" s="21">
        <v>525012334</v>
      </c>
      <c r="B1025" s="22" t="s">
        <v>2143</v>
      </c>
      <c r="C1025" s="10" t="s">
        <v>2144</v>
      </c>
      <c r="D1025" s="10" t="s">
        <v>2145</v>
      </c>
      <c r="E1025" s="10" t="s">
        <v>2146</v>
      </c>
      <c r="F1025" s="76"/>
      <c r="G1025" s="76"/>
      <c r="H1025" s="76"/>
      <c r="I1025" s="23" t="s">
        <v>39</v>
      </c>
      <c r="J1025" s="223"/>
    </row>
    <row r="1026" spans="1:10" s="144" customFormat="1" ht="12.75" x14ac:dyDescent="0.25">
      <c r="A1026" s="21">
        <v>525501503</v>
      </c>
      <c r="B1026" s="22" t="s">
        <v>2147</v>
      </c>
      <c r="C1026" s="10" t="s">
        <v>2497</v>
      </c>
      <c r="D1026" s="10" t="s">
        <v>2498</v>
      </c>
      <c r="E1026" s="10" t="s">
        <v>2499</v>
      </c>
      <c r="F1026" s="76"/>
      <c r="G1026" s="76"/>
      <c r="H1026" s="76"/>
      <c r="I1026" s="23" t="s">
        <v>249</v>
      </c>
      <c r="J1026" s="223"/>
    </row>
    <row r="1027" spans="1:10" s="144" customFormat="1" ht="12.75" x14ac:dyDescent="0.25">
      <c r="A1027" s="21">
        <v>538006501</v>
      </c>
      <c r="B1027" s="22" t="s">
        <v>2148</v>
      </c>
      <c r="C1027" s="10">
        <v>183</v>
      </c>
      <c r="D1027" s="10">
        <v>29354</v>
      </c>
      <c r="E1027" s="10">
        <v>8.8000000000000007</v>
      </c>
      <c r="F1027" s="76"/>
      <c r="G1027" s="76"/>
      <c r="H1027" s="76"/>
      <c r="I1027" s="23" t="s">
        <v>160</v>
      </c>
      <c r="J1027" s="223"/>
    </row>
    <row r="1028" spans="1:10" s="144" customFormat="1" ht="12.75" x14ac:dyDescent="0.25">
      <c r="A1028" s="21">
        <v>255806241</v>
      </c>
      <c r="B1028" s="22" t="s">
        <v>2149</v>
      </c>
      <c r="C1028" s="10">
        <v>190</v>
      </c>
      <c r="D1028" s="10">
        <v>33218</v>
      </c>
      <c r="E1028" s="10">
        <v>11.4</v>
      </c>
      <c r="F1028" s="76"/>
      <c r="G1028" s="76"/>
      <c r="H1028" s="76"/>
      <c r="I1028" s="23" t="s">
        <v>1534</v>
      </c>
      <c r="J1028" s="223"/>
    </row>
    <row r="1029" spans="1:10" s="144" customFormat="1" ht="12.75" x14ac:dyDescent="0.25">
      <c r="A1029" s="21">
        <v>525601180</v>
      </c>
      <c r="B1029" s="22" t="s">
        <v>2150</v>
      </c>
      <c r="C1029" s="10" t="s">
        <v>3176</v>
      </c>
      <c r="D1029" s="10" t="s">
        <v>3175</v>
      </c>
      <c r="E1029" s="10" t="s">
        <v>855</v>
      </c>
      <c r="F1029" s="76"/>
      <c r="G1029" s="76"/>
      <c r="H1029" s="76"/>
      <c r="I1029" s="23" t="s">
        <v>1870</v>
      </c>
      <c r="J1029" s="223"/>
    </row>
    <row r="1030" spans="1:10" s="144" customFormat="1" ht="12.75" x14ac:dyDescent="0.25">
      <c r="A1030" s="21">
        <v>525020399</v>
      </c>
      <c r="B1030" s="22" t="s">
        <v>2153</v>
      </c>
      <c r="C1030" s="89">
        <v>64</v>
      </c>
      <c r="D1030" s="89">
        <v>2256</v>
      </c>
      <c r="E1030" s="89">
        <v>3</v>
      </c>
      <c r="F1030" s="89"/>
      <c r="G1030" s="89"/>
      <c r="H1030" s="89"/>
      <c r="I1030" s="23" t="s">
        <v>1432</v>
      </c>
      <c r="J1030" s="223"/>
    </row>
    <row r="1031" spans="1:10" s="144" customFormat="1" ht="12.75" x14ac:dyDescent="0.25">
      <c r="A1031" s="21">
        <v>371882000</v>
      </c>
      <c r="B1031" s="88" t="s">
        <v>2154</v>
      </c>
      <c r="C1031" s="89">
        <v>199</v>
      </c>
      <c r="D1031" s="89">
        <v>35953</v>
      </c>
      <c r="E1031" s="89">
        <v>7</v>
      </c>
      <c r="F1031" s="89"/>
      <c r="G1031" s="89"/>
      <c r="H1031" s="89"/>
      <c r="I1031" s="90" t="s">
        <v>262</v>
      </c>
      <c r="J1031" s="223"/>
    </row>
    <row r="1032" spans="1:10" s="144" customFormat="1" ht="12.75" x14ac:dyDescent="0.25">
      <c r="A1032" s="21">
        <v>259096000</v>
      </c>
      <c r="B1032" s="88" t="s">
        <v>2155</v>
      </c>
      <c r="C1032" s="89">
        <v>144</v>
      </c>
      <c r="D1032" s="89">
        <v>11729</v>
      </c>
      <c r="E1032" s="89">
        <v>5.6</v>
      </c>
      <c r="F1032" s="89"/>
      <c r="G1032" s="89"/>
      <c r="H1032" s="89"/>
      <c r="I1032" s="90" t="s">
        <v>1895</v>
      </c>
      <c r="J1032" s="223"/>
    </row>
    <row r="1033" spans="1:10" s="144" customFormat="1" ht="12.75" x14ac:dyDescent="0.25">
      <c r="A1033" s="21">
        <v>525119033</v>
      </c>
      <c r="B1033" s="88" t="s">
        <v>2156</v>
      </c>
      <c r="C1033" s="89">
        <v>143</v>
      </c>
      <c r="D1033" s="89">
        <v>9882</v>
      </c>
      <c r="E1033" s="89">
        <v>6.2</v>
      </c>
      <c r="F1033" s="89"/>
      <c r="G1033" s="89"/>
      <c r="H1033" s="89"/>
      <c r="I1033" s="90" t="s">
        <v>96</v>
      </c>
      <c r="J1033" s="223"/>
    </row>
    <row r="1034" spans="1:10" s="144" customFormat="1" ht="12.75" x14ac:dyDescent="0.25">
      <c r="A1034" s="21">
        <v>525019633</v>
      </c>
      <c r="B1034" s="88" t="s">
        <v>2157</v>
      </c>
      <c r="C1034" s="89">
        <v>109</v>
      </c>
      <c r="D1034" s="89">
        <v>4974</v>
      </c>
      <c r="E1034" s="89">
        <v>7.3</v>
      </c>
      <c r="F1034" s="89"/>
      <c r="G1034" s="89"/>
      <c r="H1034" s="89"/>
      <c r="I1034" s="23" t="s">
        <v>313</v>
      </c>
      <c r="J1034" s="223"/>
    </row>
    <row r="1035" spans="1:10" s="144" customFormat="1" ht="12.75" x14ac:dyDescent="0.25">
      <c r="A1035" s="21">
        <v>525401071</v>
      </c>
      <c r="B1035" s="22" t="s">
        <v>3912</v>
      </c>
      <c r="C1035" s="89">
        <v>114</v>
      </c>
      <c r="D1035" s="89">
        <v>4430</v>
      </c>
      <c r="E1035" s="89">
        <v>6.7</v>
      </c>
      <c r="F1035" s="89"/>
      <c r="G1035" s="89"/>
      <c r="H1035" s="89"/>
      <c r="I1035" s="90" t="s">
        <v>245</v>
      </c>
      <c r="J1035" s="223"/>
    </row>
    <row r="1036" spans="1:10" s="144" customFormat="1" ht="12.75" x14ac:dyDescent="0.25">
      <c r="A1036" s="108">
        <v>636093030</v>
      </c>
      <c r="B1036" s="18" t="s">
        <v>2158</v>
      </c>
      <c r="C1036" s="7">
        <v>222</v>
      </c>
      <c r="D1036" s="7">
        <v>35573</v>
      </c>
      <c r="E1036" s="7">
        <v>8.35</v>
      </c>
      <c r="F1036" s="89"/>
      <c r="G1036" s="89"/>
      <c r="H1036" s="89"/>
      <c r="I1036" s="90" t="s">
        <v>892</v>
      </c>
      <c r="J1036" s="223"/>
    </row>
    <row r="1037" spans="1:10" s="144" customFormat="1" ht="12.75" x14ac:dyDescent="0.25">
      <c r="A1037" s="21">
        <v>477346200</v>
      </c>
      <c r="B1037" s="88" t="s">
        <v>2160</v>
      </c>
      <c r="C1037" s="89">
        <v>229</v>
      </c>
      <c r="D1037" s="89">
        <v>51265</v>
      </c>
      <c r="E1037" s="89">
        <v>7.5</v>
      </c>
      <c r="F1037" s="89"/>
      <c r="G1037" s="89"/>
      <c r="H1037" s="89"/>
      <c r="I1037" s="90" t="s">
        <v>2161</v>
      </c>
      <c r="J1037" s="223"/>
    </row>
    <row r="1038" spans="1:10" s="144" customFormat="1" ht="12.75" x14ac:dyDescent="0.25">
      <c r="A1038" s="21">
        <v>525300549</v>
      </c>
      <c r="B1038" s="88" t="s">
        <v>2162</v>
      </c>
      <c r="C1038" s="89">
        <v>183</v>
      </c>
      <c r="D1038" s="89">
        <v>19728</v>
      </c>
      <c r="E1038" s="89">
        <v>6</v>
      </c>
      <c r="F1038" s="89"/>
      <c r="G1038" s="89"/>
      <c r="H1038" s="89"/>
      <c r="I1038" s="90" t="s">
        <v>262</v>
      </c>
      <c r="J1038" s="223"/>
    </row>
    <row r="1039" spans="1:10" s="144" customFormat="1" ht="12.75" x14ac:dyDescent="0.25">
      <c r="A1039" s="17">
        <v>525006296</v>
      </c>
      <c r="B1039" s="18" t="s">
        <v>2163</v>
      </c>
      <c r="C1039" s="7" t="s">
        <v>2164</v>
      </c>
      <c r="D1039" s="7" t="s">
        <v>2165</v>
      </c>
      <c r="E1039" s="7" t="s">
        <v>2166</v>
      </c>
      <c r="F1039" s="7"/>
      <c r="G1039" s="7"/>
      <c r="H1039" s="7"/>
      <c r="I1039" s="7" t="s">
        <v>92</v>
      </c>
      <c r="J1039" s="223"/>
    </row>
    <row r="1040" spans="1:10" s="144" customFormat="1" ht="12.75" x14ac:dyDescent="0.25">
      <c r="A1040" s="21">
        <v>636019623</v>
      </c>
      <c r="B1040" s="88" t="s">
        <v>2167</v>
      </c>
      <c r="C1040" s="89">
        <v>190</v>
      </c>
      <c r="D1040" s="89">
        <v>32987</v>
      </c>
      <c r="E1040" s="89">
        <v>7</v>
      </c>
      <c r="F1040" s="89"/>
      <c r="G1040" s="89"/>
      <c r="H1040" s="89"/>
      <c r="I1040" s="90" t="s">
        <v>273</v>
      </c>
      <c r="J1040" s="223"/>
    </row>
    <row r="1041" spans="1:10" s="144" customFormat="1" ht="12.75" x14ac:dyDescent="0.25">
      <c r="A1041" s="21">
        <v>525300541</v>
      </c>
      <c r="B1041" s="88" t="s">
        <v>2168</v>
      </c>
      <c r="C1041" s="89" t="s">
        <v>2169</v>
      </c>
      <c r="D1041" s="89" t="s">
        <v>2092</v>
      </c>
      <c r="E1041" s="89" t="s">
        <v>2170</v>
      </c>
      <c r="F1041" s="89"/>
      <c r="G1041" s="89"/>
      <c r="H1041" s="89"/>
      <c r="I1041" s="90" t="s">
        <v>249</v>
      </c>
      <c r="J1041" s="223"/>
    </row>
    <row r="1042" spans="1:10" s="144" customFormat="1" ht="12.75" x14ac:dyDescent="0.25">
      <c r="A1042" s="21">
        <v>253650000</v>
      </c>
      <c r="B1042" s="88" t="s">
        <v>2171</v>
      </c>
      <c r="C1042" s="89">
        <v>122</v>
      </c>
      <c r="D1042" s="89">
        <v>6442</v>
      </c>
      <c r="E1042" s="89">
        <v>5.3</v>
      </c>
      <c r="F1042" s="89"/>
      <c r="G1042" s="89"/>
      <c r="H1042" s="89"/>
      <c r="I1042" s="90" t="s">
        <v>40</v>
      </c>
      <c r="J1042" s="223"/>
    </row>
    <row r="1043" spans="1:10" s="144" customFormat="1" ht="12.75" x14ac:dyDescent="0.25">
      <c r="A1043" s="21">
        <v>210146000</v>
      </c>
      <c r="B1043" s="22" t="s">
        <v>2172</v>
      </c>
      <c r="C1043" s="89">
        <v>186</v>
      </c>
      <c r="D1043" s="89">
        <v>29884</v>
      </c>
      <c r="E1043" s="89">
        <v>7.8</v>
      </c>
      <c r="F1043" s="89"/>
      <c r="G1043" s="89"/>
      <c r="H1043" s="89"/>
      <c r="I1043" s="23" t="s">
        <v>160</v>
      </c>
      <c r="J1043" s="223"/>
    </row>
    <row r="1044" spans="1:10" s="144" customFormat="1" ht="12.75" x14ac:dyDescent="0.25">
      <c r="A1044" s="24">
        <v>565458000</v>
      </c>
      <c r="B1044" s="22" t="s">
        <v>2173</v>
      </c>
      <c r="C1044" s="10">
        <v>139</v>
      </c>
      <c r="D1044" s="10">
        <v>9127</v>
      </c>
      <c r="E1044" s="10">
        <v>5.8</v>
      </c>
      <c r="F1044" s="89"/>
      <c r="G1044" s="89"/>
      <c r="H1044" s="89"/>
      <c r="I1044" s="23" t="s">
        <v>160</v>
      </c>
      <c r="J1044" s="223"/>
    </row>
    <row r="1045" spans="1:10" s="144" customFormat="1" ht="12.75" x14ac:dyDescent="0.25">
      <c r="A1045" s="24">
        <v>525018061</v>
      </c>
      <c r="B1045" s="22" t="s">
        <v>2174</v>
      </c>
      <c r="C1045" s="10" t="s">
        <v>2175</v>
      </c>
      <c r="D1045" s="10" t="s">
        <v>2176</v>
      </c>
      <c r="E1045" s="10" t="s">
        <v>2177</v>
      </c>
      <c r="F1045" s="89"/>
      <c r="G1045" s="89"/>
      <c r="H1045" s="89"/>
      <c r="I1045" s="23" t="s">
        <v>249</v>
      </c>
      <c r="J1045" s="223"/>
    </row>
    <row r="1046" spans="1:10" s="144" customFormat="1" ht="12.75" x14ac:dyDescent="0.25">
      <c r="A1046" s="21">
        <v>525301949</v>
      </c>
      <c r="B1046" s="22" t="s">
        <v>2179</v>
      </c>
      <c r="C1046" s="89">
        <v>54</v>
      </c>
      <c r="D1046" s="89">
        <v>856</v>
      </c>
      <c r="E1046" s="89">
        <v>3.5</v>
      </c>
      <c r="F1046" s="89"/>
      <c r="G1046" s="89"/>
      <c r="H1046" s="89"/>
      <c r="I1046" s="23" t="s">
        <v>2180</v>
      </c>
      <c r="J1046" s="223"/>
    </row>
    <row r="1047" spans="1:10" s="144" customFormat="1" ht="12.75" x14ac:dyDescent="0.25">
      <c r="A1047" s="21">
        <v>525006283</v>
      </c>
      <c r="B1047" s="88" t="s">
        <v>2181</v>
      </c>
      <c r="C1047" s="89">
        <v>72</v>
      </c>
      <c r="D1047" s="89">
        <v>1202</v>
      </c>
      <c r="E1047" s="89">
        <v>4.2</v>
      </c>
      <c r="F1047" s="89"/>
      <c r="G1047" s="89"/>
      <c r="H1047" s="89"/>
      <c r="I1047" s="90" t="s">
        <v>39</v>
      </c>
      <c r="J1047" s="223"/>
    </row>
    <row r="1048" spans="1:10" s="144" customFormat="1" ht="12.75" x14ac:dyDescent="0.25">
      <c r="A1048" s="21">
        <v>525015462</v>
      </c>
      <c r="B1048" s="22" t="s">
        <v>2184</v>
      </c>
      <c r="C1048" s="10" t="s">
        <v>2182</v>
      </c>
      <c r="D1048" s="10" t="s">
        <v>2183</v>
      </c>
      <c r="E1048" s="89">
        <v>3.1</v>
      </c>
      <c r="F1048" s="89"/>
      <c r="G1048" s="89"/>
      <c r="H1048" s="89"/>
      <c r="I1048" s="23" t="s">
        <v>1051</v>
      </c>
      <c r="J1048" s="223"/>
    </row>
    <row r="1049" spans="1:10" s="144" customFormat="1" ht="12.75" x14ac:dyDescent="0.25">
      <c r="A1049" s="21">
        <v>533471000</v>
      </c>
      <c r="B1049" s="22" t="s">
        <v>2185</v>
      </c>
      <c r="C1049" s="89">
        <v>78</v>
      </c>
      <c r="D1049" s="89">
        <v>1402</v>
      </c>
      <c r="E1049" s="89">
        <v>3</v>
      </c>
      <c r="F1049" s="89"/>
      <c r="G1049" s="89"/>
      <c r="H1049" s="89"/>
      <c r="I1049" s="90" t="s">
        <v>71</v>
      </c>
      <c r="J1049" s="223"/>
    </row>
    <row r="1050" spans="1:10" s="144" customFormat="1" ht="12.75" x14ac:dyDescent="0.25">
      <c r="A1050" s="21">
        <v>372643000</v>
      </c>
      <c r="B1050" s="88" t="s">
        <v>2186</v>
      </c>
      <c r="C1050" s="89">
        <v>128</v>
      </c>
      <c r="D1050" s="89">
        <v>9962</v>
      </c>
      <c r="E1050" s="89">
        <v>5.4</v>
      </c>
      <c r="F1050" s="89"/>
      <c r="G1050" s="89"/>
      <c r="H1050" s="89"/>
      <c r="I1050" s="23" t="s">
        <v>262</v>
      </c>
      <c r="J1050" s="223"/>
    </row>
    <row r="1051" spans="1:10" s="144" customFormat="1" ht="12.75" x14ac:dyDescent="0.25">
      <c r="A1051" s="21">
        <v>525300706</v>
      </c>
      <c r="B1051" s="22" t="s">
        <v>2187</v>
      </c>
      <c r="C1051" s="10">
        <v>76</v>
      </c>
      <c r="D1051" s="10">
        <v>1478</v>
      </c>
      <c r="E1051" s="25">
        <v>4.3</v>
      </c>
      <c r="F1051" s="89"/>
      <c r="G1051" s="89"/>
      <c r="H1051" s="89"/>
      <c r="I1051" s="23" t="s">
        <v>39</v>
      </c>
      <c r="J1051" s="223"/>
    </row>
    <row r="1052" spans="1:10" s="144" customFormat="1" ht="12.75" x14ac:dyDescent="0.25">
      <c r="A1052" s="21">
        <v>255915567</v>
      </c>
      <c r="B1052" s="22" t="s">
        <v>2188</v>
      </c>
      <c r="C1052" s="89">
        <v>135</v>
      </c>
      <c r="D1052" s="89">
        <v>10421</v>
      </c>
      <c r="E1052" s="10" t="s">
        <v>1221</v>
      </c>
      <c r="F1052" s="89"/>
      <c r="G1052" s="89"/>
      <c r="H1052" s="89"/>
      <c r="I1052" s="23" t="s">
        <v>817</v>
      </c>
      <c r="J1052" s="223"/>
    </row>
    <row r="1053" spans="1:10" s="144" customFormat="1" ht="12.75" x14ac:dyDescent="0.25">
      <c r="A1053" s="21">
        <v>255915566</v>
      </c>
      <c r="B1053" s="22" t="s">
        <v>2189</v>
      </c>
      <c r="C1053" s="89">
        <v>135</v>
      </c>
      <c r="D1053" s="89">
        <v>10421</v>
      </c>
      <c r="E1053" s="89">
        <v>6.2</v>
      </c>
      <c r="F1053" s="89"/>
      <c r="G1053" s="89"/>
      <c r="H1053" s="89"/>
      <c r="I1053" s="23" t="s">
        <v>40</v>
      </c>
      <c r="J1053" s="223"/>
    </row>
    <row r="1054" spans="1:10" s="144" customFormat="1" ht="12.75" x14ac:dyDescent="0.25">
      <c r="A1054" s="21">
        <v>525400275</v>
      </c>
      <c r="B1054" s="22" t="s">
        <v>2190</v>
      </c>
      <c r="C1054" s="89">
        <v>47</v>
      </c>
      <c r="D1054" s="89">
        <v>299</v>
      </c>
      <c r="E1054" s="10" t="s">
        <v>3069</v>
      </c>
      <c r="F1054" s="89"/>
      <c r="G1054" s="89"/>
      <c r="H1054" s="89"/>
      <c r="I1054" s="23" t="s">
        <v>96</v>
      </c>
      <c r="J1054" s="223"/>
    </row>
    <row r="1055" spans="1:10" s="144" customFormat="1" ht="12.75" x14ac:dyDescent="0.25">
      <c r="A1055" s="21">
        <v>477641300</v>
      </c>
      <c r="B1055" s="22" t="s">
        <v>2191</v>
      </c>
      <c r="C1055" s="89">
        <v>190</v>
      </c>
      <c r="D1055" s="89">
        <v>33036</v>
      </c>
      <c r="E1055" s="89">
        <v>6.7</v>
      </c>
      <c r="F1055" s="89"/>
      <c r="G1055" s="89"/>
      <c r="H1055" s="89"/>
      <c r="I1055" s="23" t="s">
        <v>262</v>
      </c>
      <c r="J1055" s="223"/>
    </row>
    <row r="1056" spans="1:10" s="144" customFormat="1" ht="12.75" x14ac:dyDescent="0.25">
      <c r="A1056" s="21">
        <v>525601562</v>
      </c>
      <c r="B1056" s="22" t="s">
        <v>2192</v>
      </c>
      <c r="C1056" s="89">
        <v>41</v>
      </c>
      <c r="D1056" s="89">
        <v>289</v>
      </c>
      <c r="E1056" s="89">
        <v>2</v>
      </c>
      <c r="F1056" s="89"/>
      <c r="G1056" s="89"/>
      <c r="H1056" s="89"/>
      <c r="I1056" s="23" t="s">
        <v>2193</v>
      </c>
      <c r="J1056" s="223"/>
    </row>
    <row r="1057" spans="1:10" s="144" customFormat="1" ht="12.75" x14ac:dyDescent="0.25">
      <c r="A1057" s="21">
        <v>257921000</v>
      </c>
      <c r="B1057" s="22" t="s">
        <v>2194</v>
      </c>
      <c r="C1057" s="89">
        <v>144</v>
      </c>
      <c r="D1057" s="89">
        <v>11729</v>
      </c>
      <c r="E1057" s="89">
        <v>9.4</v>
      </c>
      <c r="F1057" s="89"/>
      <c r="G1057" s="89"/>
      <c r="H1057" s="89"/>
      <c r="I1057" s="23" t="s">
        <v>1895</v>
      </c>
      <c r="J1057" s="223"/>
    </row>
    <row r="1058" spans="1:10" s="144" customFormat="1" ht="12.75" x14ac:dyDescent="0.25">
      <c r="A1058" s="21">
        <v>477207600</v>
      </c>
      <c r="B1058" s="22" t="s">
        <v>2195</v>
      </c>
      <c r="C1058" s="89">
        <v>260</v>
      </c>
      <c r="D1058" s="89">
        <v>40541</v>
      </c>
      <c r="E1058" s="89">
        <v>8.1</v>
      </c>
      <c r="F1058" s="89"/>
      <c r="G1058" s="89"/>
      <c r="H1058" s="89"/>
      <c r="I1058" s="23" t="s">
        <v>268</v>
      </c>
      <c r="J1058" s="223"/>
    </row>
    <row r="1059" spans="1:10" s="144" customFormat="1" ht="12.75" x14ac:dyDescent="0.25">
      <c r="A1059" s="21">
        <v>636021334</v>
      </c>
      <c r="B1059" s="22" t="s">
        <v>2196</v>
      </c>
      <c r="C1059" s="89">
        <v>225</v>
      </c>
      <c r="D1059" s="89">
        <v>41684</v>
      </c>
      <c r="E1059" s="89">
        <v>7.5</v>
      </c>
      <c r="F1059" s="89"/>
      <c r="G1059" s="89"/>
      <c r="H1059" s="89"/>
      <c r="I1059" s="23" t="s">
        <v>262</v>
      </c>
      <c r="J1059" s="223"/>
    </row>
    <row r="1060" spans="1:10" s="144" customFormat="1" ht="12.75" x14ac:dyDescent="0.25">
      <c r="A1060" s="21">
        <v>311000384</v>
      </c>
      <c r="B1060" s="22" t="s">
        <v>2197</v>
      </c>
      <c r="C1060" s="89">
        <v>199</v>
      </c>
      <c r="D1060" s="89">
        <v>34815</v>
      </c>
      <c r="E1060" s="89">
        <v>12.5</v>
      </c>
      <c r="F1060" s="89"/>
      <c r="G1060" s="89"/>
      <c r="H1060" s="89"/>
      <c r="I1060" s="23" t="s">
        <v>262</v>
      </c>
      <c r="J1060" s="223"/>
    </row>
    <row r="1061" spans="1:10" s="144" customFormat="1" ht="12.75" x14ac:dyDescent="0.25">
      <c r="A1061" s="24">
        <v>525018060</v>
      </c>
      <c r="B1061" s="109" t="s">
        <v>2198</v>
      </c>
      <c r="C1061" s="110" t="s">
        <v>2199</v>
      </c>
      <c r="D1061" s="110" t="s">
        <v>2200</v>
      </c>
      <c r="E1061" s="10" t="s">
        <v>1060</v>
      </c>
      <c r="F1061" s="89"/>
      <c r="G1061" s="89"/>
      <c r="H1061" s="89"/>
      <c r="I1061" s="23" t="s">
        <v>249</v>
      </c>
      <c r="J1061" s="223"/>
    </row>
    <row r="1062" spans="1:10" s="144" customFormat="1" ht="12.75" x14ac:dyDescent="0.25">
      <c r="A1062" s="21">
        <v>525005285</v>
      </c>
      <c r="B1062" s="22" t="s">
        <v>2201</v>
      </c>
      <c r="C1062" s="10" t="s">
        <v>826</v>
      </c>
      <c r="D1062" s="10" t="s">
        <v>2202</v>
      </c>
      <c r="E1062" s="10" t="s">
        <v>2203</v>
      </c>
      <c r="F1062" s="89"/>
      <c r="G1062" s="89"/>
      <c r="H1062" s="89"/>
      <c r="I1062" s="23" t="s">
        <v>2096</v>
      </c>
      <c r="J1062" s="223"/>
    </row>
    <row r="1063" spans="1:10" s="144" customFormat="1" ht="12.75" x14ac:dyDescent="0.25">
      <c r="A1063" s="21">
        <v>477115300</v>
      </c>
      <c r="B1063" s="111" t="s">
        <v>2204</v>
      </c>
      <c r="C1063" s="112">
        <v>128.6</v>
      </c>
      <c r="D1063" s="112">
        <v>8568</v>
      </c>
      <c r="E1063" s="112">
        <v>7.6</v>
      </c>
      <c r="F1063" s="89"/>
      <c r="G1063" s="89"/>
      <c r="H1063" s="89"/>
      <c r="I1063" s="23" t="s">
        <v>40</v>
      </c>
      <c r="J1063" s="223"/>
    </row>
    <row r="1064" spans="1:10" s="144" customFormat="1" ht="12.75" x14ac:dyDescent="0.25">
      <c r="A1064" s="21">
        <v>525401748</v>
      </c>
      <c r="B1064" s="22" t="s">
        <v>2205</v>
      </c>
      <c r="C1064" s="89">
        <v>99</v>
      </c>
      <c r="D1064" s="89">
        <v>5376</v>
      </c>
      <c r="E1064" s="10" t="s">
        <v>106</v>
      </c>
      <c r="F1064" s="89"/>
      <c r="G1064" s="89"/>
      <c r="H1064" s="89"/>
      <c r="I1064" s="23" t="s">
        <v>41</v>
      </c>
      <c r="J1064" s="223"/>
    </row>
    <row r="1065" spans="1:10" s="144" customFormat="1" ht="12.75" x14ac:dyDescent="0.25">
      <c r="A1065" s="21">
        <v>525501067</v>
      </c>
      <c r="B1065" s="22" t="s">
        <v>2206</v>
      </c>
      <c r="C1065" s="89">
        <v>82</v>
      </c>
      <c r="D1065" s="89">
        <v>2027</v>
      </c>
      <c r="E1065" s="89">
        <v>4.5</v>
      </c>
      <c r="F1065" s="89"/>
      <c r="G1065" s="89"/>
      <c r="H1065" s="89"/>
      <c r="I1065" s="23" t="s">
        <v>150</v>
      </c>
      <c r="J1065" s="223"/>
    </row>
    <row r="1066" spans="1:10" s="144" customFormat="1" ht="12.75" x14ac:dyDescent="0.25">
      <c r="A1066" s="24">
        <v>518100369</v>
      </c>
      <c r="B1066" s="22" t="s">
        <v>2207</v>
      </c>
      <c r="C1066" s="10">
        <v>185.7</v>
      </c>
      <c r="D1066" s="10">
        <v>26071</v>
      </c>
      <c r="E1066" s="10">
        <v>6.1</v>
      </c>
      <c r="F1066" s="89"/>
      <c r="G1066" s="89"/>
      <c r="H1066" s="89"/>
      <c r="I1066" s="23" t="s">
        <v>71</v>
      </c>
      <c r="J1066" s="223"/>
    </row>
    <row r="1067" spans="1:10" s="144" customFormat="1" ht="12.75" x14ac:dyDescent="0.25">
      <c r="A1067" s="21">
        <v>563109100</v>
      </c>
      <c r="B1067" s="22" t="s">
        <v>2209</v>
      </c>
      <c r="C1067" s="89">
        <v>225</v>
      </c>
      <c r="D1067" s="89">
        <v>40541</v>
      </c>
      <c r="E1067" s="89">
        <v>13.3</v>
      </c>
      <c r="F1067" s="89"/>
      <c r="G1067" s="89"/>
      <c r="H1067" s="89"/>
      <c r="I1067" s="23" t="s">
        <v>273</v>
      </c>
      <c r="J1067" s="223"/>
    </row>
    <row r="1068" spans="1:10" s="144" customFormat="1" ht="12.75" x14ac:dyDescent="0.25">
      <c r="A1068" s="21">
        <v>352001445</v>
      </c>
      <c r="B1068" s="22" t="s">
        <v>2211</v>
      </c>
      <c r="C1068" s="89">
        <v>127</v>
      </c>
      <c r="D1068" s="89">
        <v>9942</v>
      </c>
      <c r="E1068" s="89">
        <v>5.3</v>
      </c>
      <c r="F1068" s="89"/>
      <c r="G1068" s="89"/>
      <c r="H1068" s="89"/>
      <c r="I1068" s="23" t="s">
        <v>262</v>
      </c>
      <c r="J1068" s="223"/>
    </row>
    <row r="1069" spans="1:10" s="144" customFormat="1" ht="12.75" x14ac:dyDescent="0.25">
      <c r="A1069" s="21">
        <v>525010396</v>
      </c>
      <c r="B1069" s="22" t="s">
        <v>3763</v>
      </c>
      <c r="C1069" s="10" t="s">
        <v>1295</v>
      </c>
      <c r="D1069" s="10" t="s">
        <v>3772</v>
      </c>
      <c r="E1069" s="25" t="s">
        <v>3773</v>
      </c>
      <c r="F1069" s="89"/>
      <c r="G1069" s="89"/>
      <c r="H1069" s="89"/>
      <c r="I1069" s="23" t="s">
        <v>39</v>
      </c>
      <c r="J1069" s="223"/>
    </row>
    <row r="1070" spans="1:10" s="144" customFormat="1" ht="12.75" x14ac:dyDescent="0.25">
      <c r="A1070" s="21">
        <v>525003307</v>
      </c>
      <c r="B1070" s="22" t="s">
        <v>2212</v>
      </c>
      <c r="C1070" s="10" t="s">
        <v>2213</v>
      </c>
      <c r="D1070" s="10" t="s">
        <v>2214</v>
      </c>
      <c r="E1070" s="10" t="s">
        <v>2215</v>
      </c>
      <c r="F1070" s="89"/>
      <c r="G1070" s="89"/>
      <c r="H1070" s="89"/>
      <c r="I1070" s="23" t="s">
        <v>92</v>
      </c>
      <c r="J1070" s="223"/>
    </row>
    <row r="1071" spans="1:10" s="144" customFormat="1" ht="12.75" x14ac:dyDescent="0.25">
      <c r="A1071" s="21">
        <v>525021382</v>
      </c>
      <c r="B1071" s="22" t="s">
        <v>2642</v>
      </c>
      <c r="C1071" s="10" t="s">
        <v>2114</v>
      </c>
      <c r="D1071" s="10" t="s">
        <v>2115</v>
      </c>
      <c r="E1071" s="10" t="s">
        <v>243</v>
      </c>
      <c r="F1071" s="89"/>
      <c r="G1071" s="89"/>
      <c r="H1071" s="89"/>
      <c r="I1071" s="90" t="s">
        <v>249</v>
      </c>
      <c r="J1071" s="223"/>
    </row>
    <row r="1072" spans="1:10" s="144" customFormat="1" ht="12.75" x14ac:dyDescent="0.25">
      <c r="A1072" s="21">
        <v>477754300</v>
      </c>
      <c r="B1072" s="22" t="s">
        <v>2216</v>
      </c>
      <c r="C1072" s="89">
        <v>190</v>
      </c>
      <c r="D1072" s="89">
        <v>33057</v>
      </c>
      <c r="E1072" s="89">
        <v>6.7</v>
      </c>
      <c r="F1072" s="89"/>
      <c r="G1072" s="89"/>
      <c r="H1072" s="89"/>
      <c r="I1072" s="23" t="s">
        <v>273</v>
      </c>
      <c r="J1072" s="223"/>
    </row>
    <row r="1073" spans="1:10" s="144" customFormat="1" ht="12.75" x14ac:dyDescent="0.25">
      <c r="A1073" s="21">
        <v>311001319</v>
      </c>
      <c r="B1073" s="22" t="s">
        <v>2217</v>
      </c>
      <c r="C1073" s="89">
        <v>179</v>
      </c>
      <c r="D1073" s="89">
        <v>24785</v>
      </c>
      <c r="E1073" s="89">
        <v>9.6999999999999993</v>
      </c>
      <c r="F1073" s="89"/>
      <c r="G1073" s="89"/>
      <c r="H1073" s="89"/>
      <c r="I1073" s="23" t="s">
        <v>262</v>
      </c>
      <c r="J1073" s="223"/>
    </row>
    <row r="1074" spans="1:10" s="144" customFormat="1" ht="12.75" x14ac:dyDescent="0.25">
      <c r="A1074" s="21">
        <v>636017622</v>
      </c>
      <c r="B1074" s="22" t="s">
        <v>2218</v>
      </c>
      <c r="C1074" s="89">
        <v>183</v>
      </c>
      <c r="D1074" s="89">
        <v>29957</v>
      </c>
      <c r="E1074" s="89">
        <v>9.5</v>
      </c>
      <c r="F1074" s="89"/>
      <c r="G1074" s="89"/>
      <c r="H1074" s="89"/>
      <c r="I1074" s="23" t="s">
        <v>92</v>
      </c>
      <c r="J1074" s="223"/>
    </row>
    <row r="1075" spans="1:10" s="144" customFormat="1" ht="12.75" x14ac:dyDescent="0.25">
      <c r="A1075" s="21">
        <v>413705210</v>
      </c>
      <c r="B1075" s="22" t="s">
        <v>2219</v>
      </c>
      <c r="C1075" s="89">
        <v>187</v>
      </c>
      <c r="D1075" s="89">
        <v>27198</v>
      </c>
      <c r="E1075" s="89">
        <v>11.6</v>
      </c>
      <c r="F1075" s="89"/>
      <c r="G1075" s="89"/>
      <c r="H1075" s="89"/>
      <c r="I1075" s="23" t="s">
        <v>273</v>
      </c>
      <c r="J1075" s="223"/>
    </row>
    <row r="1076" spans="1:10" s="144" customFormat="1" ht="12.75" x14ac:dyDescent="0.25">
      <c r="A1076" s="21">
        <v>525010258</v>
      </c>
      <c r="B1076" s="22" t="s">
        <v>2220</v>
      </c>
      <c r="C1076" s="10" t="s">
        <v>2221</v>
      </c>
      <c r="D1076" s="10" t="s">
        <v>2222</v>
      </c>
      <c r="E1076" s="114" t="s">
        <v>2230</v>
      </c>
      <c r="F1076" s="89"/>
      <c r="G1076" s="89"/>
      <c r="H1076" s="89"/>
      <c r="I1076" s="23" t="s">
        <v>41</v>
      </c>
      <c r="J1076" s="223"/>
    </row>
    <row r="1077" spans="1:10" s="144" customFormat="1" ht="12.75" x14ac:dyDescent="0.25">
      <c r="A1077" s="21">
        <v>525023083</v>
      </c>
      <c r="B1077" s="88" t="s">
        <v>2223</v>
      </c>
      <c r="C1077" s="113">
        <v>52</v>
      </c>
      <c r="D1077" s="113">
        <v>807</v>
      </c>
      <c r="E1077" s="113">
        <v>2.4</v>
      </c>
      <c r="F1077" s="89"/>
      <c r="G1077" s="89"/>
      <c r="H1077" s="89"/>
      <c r="I1077" s="23" t="s">
        <v>150</v>
      </c>
      <c r="J1077" s="223"/>
    </row>
    <row r="1078" spans="1:10" s="144" customFormat="1" ht="12.75" x14ac:dyDescent="0.25">
      <c r="A1078" s="21">
        <v>525401903</v>
      </c>
      <c r="B1078" s="22" t="s">
        <v>2226</v>
      </c>
      <c r="C1078" s="10" t="s">
        <v>2227</v>
      </c>
      <c r="D1078" s="10" t="s">
        <v>2228</v>
      </c>
      <c r="E1078" s="10" t="s">
        <v>2229</v>
      </c>
      <c r="F1078" s="89"/>
      <c r="G1078" s="89"/>
      <c r="H1078" s="10" t="s">
        <v>2354</v>
      </c>
      <c r="I1078" s="23" t="s">
        <v>2353</v>
      </c>
      <c r="J1078" s="223"/>
    </row>
    <row r="1079" spans="1:10" s="144" customFormat="1" ht="12.75" x14ac:dyDescent="0.25">
      <c r="A1079" s="21">
        <v>525012309</v>
      </c>
      <c r="B1079" s="88" t="s">
        <v>2231</v>
      </c>
      <c r="C1079" s="89">
        <v>110</v>
      </c>
      <c r="D1079" s="89">
        <v>4292</v>
      </c>
      <c r="E1079" s="89">
        <v>4</v>
      </c>
      <c r="F1079" s="89"/>
      <c r="G1079" s="89"/>
      <c r="H1079" s="89"/>
      <c r="I1079" s="23" t="s">
        <v>2232</v>
      </c>
      <c r="J1079" s="223"/>
    </row>
    <row r="1080" spans="1:10" s="144" customFormat="1" ht="12.75" x14ac:dyDescent="0.25">
      <c r="A1080" s="21">
        <v>525021162</v>
      </c>
      <c r="B1080" s="22" t="s">
        <v>2233</v>
      </c>
      <c r="C1080" s="89">
        <v>88.3</v>
      </c>
      <c r="D1080" s="89">
        <v>2384</v>
      </c>
      <c r="E1080" s="10" t="s">
        <v>3326</v>
      </c>
      <c r="F1080" s="89"/>
      <c r="G1080" s="89"/>
      <c r="H1080" s="89"/>
      <c r="I1080" s="23" t="s">
        <v>96</v>
      </c>
      <c r="J1080" s="223"/>
    </row>
    <row r="1081" spans="1:10" s="144" customFormat="1" ht="12.75" x14ac:dyDescent="0.25">
      <c r="A1081" s="21">
        <v>574144134</v>
      </c>
      <c r="B1081" s="115" t="s">
        <v>2234</v>
      </c>
      <c r="C1081" s="116">
        <v>102</v>
      </c>
      <c r="D1081" s="116">
        <v>4143</v>
      </c>
      <c r="E1081" s="116">
        <v>4.0999999999999996</v>
      </c>
      <c r="F1081" s="116"/>
      <c r="G1081" s="116"/>
      <c r="H1081" s="116"/>
      <c r="I1081" s="117" t="s">
        <v>273</v>
      </c>
      <c r="J1081" s="223"/>
    </row>
    <row r="1082" spans="1:10" s="144" customFormat="1" ht="12.75" x14ac:dyDescent="0.25">
      <c r="A1082" s="21">
        <v>210007000</v>
      </c>
      <c r="B1082" s="115" t="s">
        <v>2235</v>
      </c>
      <c r="C1082" s="116">
        <v>190</v>
      </c>
      <c r="D1082" s="116">
        <v>31759</v>
      </c>
      <c r="E1082" s="116">
        <v>12.9</v>
      </c>
      <c r="F1082" s="116"/>
      <c r="G1082" s="116"/>
      <c r="H1082" s="116"/>
      <c r="I1082" s="117" t="s">
        <v>817</v>
      </c>
      <c r="J1082" s="223"/>
    </row>
    <row r="1083" spans="1:10" s="144" customFormat="1" ht="12.75" x14ac:dyDescent="0.25">
      <c r="A1083" s="21">
        <v>563133400</v>
      </c>
      <c r="B1083" s="115" t="s">
        <v>2239</v>
      </c>
      <c r="C1083" s="116">
        <v>260</v>
      </c>
      <c r="D1083" s="116">
        <v>39906</v>
      </c>
      <c r="E1083" s="116">
        <v>8.1</v>
      </c>
      <c r="F1083" s="116"/>
      <c r="G1083" s="116"/>
      <c r="H1083" s="116"/>
      <c r="I1083" s="117" t="s">
        <v>268</v>
      </c>
      <c r="J1083" s="223"/>
    </row>
    <row r="1084" spans="1:10" s="144" customFormat="1" ht="12.75" x14ac:dyDescent="0.25">
      <c r="A1084" s="21">
        <v>525015300</v>
      </c>
      <c r="B1084" s="115" t="s">
        <v>2240</v>
      </c>
      <c r="C1084" s="116">
        <v>88</v>
      </c>
      <c r="D1084" s="116">
        <v>2302</v>
      </c>
      <c r="E1084" s="116">
        <v>3.5</v>
      </c>
      <c r="F1084" s="116"/>
      <c r="G1084" s="116"/>
      <c r="H1084" s="116"/>
      <c r="I1084" s="117" t="s">
        <v>1584</v>
      </c>
      <c r="J1084" s="223"/>
    </row>
    <row r="1085" spans="1:10" s="144" customFormat="1" ht="12.75" x14ac:dyDescent="0.25">
      <c r="A1085" s="21">
        <v>525501697</v>
      </c>
      <c r="B1085" s="115" t="s">
        <v>2241</v>
      </c>
      <c r="C1085" s="116">
        <v>42</v>
      </c>
      <c r="D1085" s="116">
        <v>431</v>
      </c>
      <c r="E1085" s="116">
        <v>2.8</v>
      </c>
      <c r="F1085" s="116"/>
      <c r="G1085" s="116"/>
      <c r="H1085" s="116"/>
      <c r="I1085" s="23" t="s">
        <v>245</v>
      </c>
      <c r="J1085" s="223"/>
    </row>
    <row r="1086" spans="1:10" s="144" customFormat="1" ht="12.75" x14ac:dyDescent="0.25">
      <c r="A1086" s="21">
        <v>533003020</v>
      </c>
      <c r="B1086" s="22" t="s">
        <v>2742</v>
      </c>
      <c r="C1086" s="116" t="s">
        <v>2242</v>
      </c>
      <c r="D1086" s="116" t="s">
        <v>2243</v>
      </c>
      <c r="E1086" s="116" t="s">
        <v>2244</v>
      </c>
      <c r="F1086" s="116"/>
      <c r="G1086" s="116"/>
      <c r="H1086" s="116"/>
      <c r="I1086" s="117" t="s">
        <v>2096</v>
      </c>
      <c r="J1086" s="223"/>
    </row>
    <row r="1087" spans="1:10" s="144" customFormat="1" ht="12.75" x14ac:dyDescent="0.25">
      <c r="A1087" s="21">
        <v>525020109</v>
      </c>
      <c r="B1087" s="22" t="s">
        <v>2432</v>
      </c>
      <c r="C1087" s="116">
        <v>143</v>
      </c>
      <c r="D1087" s="116">
        <v>11248</v>
      </c>
      <c r="E1087" s="116">
        <v>8.4</v>
      </c>
      <c r="F1087" s="116"/>
      <c r="G1087" s="116"/>
      <c r="H1087" s="116"/>
      <c r="I1087" s="117" t="s">
        <v>96</v>
      </c>
      <c r="J1087" s="223"/>
    </row>
    <row r="1088" spans="1:10" s="144" customFormat="1" ht="12.75" x14ac:dyDescent="0.25">
      <c r="A1088" s="21">
        <v>525400110</v>
      </c>
      <c r="B1088" s="22" t="s">
        <v>2245</v>
      </c>
      <c r="C1088" s="116" t="s">
        <v>2246</v>
      </c>
      <c r="D1088" s="116" t="s">
        <v>2247</v>
      </c>
      <c r="E1088" s="116" t="s">
        <v>2248</v>
      </c>
      <c r="F1088" s="116"/>
      <c r="G1088" s="116"/>
      <c r="H1088" s="116"/>
      <c r="I1088" s="117" t="s">
        <v>245</v>
      </c>
      <c r="J1088" s="223"/>
    </row>
    <row r="1089" spans="1:10" s="144" customFormat="1" ht="12.75" x14ac:dyDescent="0.25">
      <c r="A1089" s="21">
        <v>352001467</v>
      </c>
      <c r="B1089" s="22" t="s">
        <v>2249</v>
      </c>
      <c r="C1089" s="10">
        <v>129</v>
      </c>
      <c r="D1089" s="10">
        <v>8539</v>
      </c>
      <c r="E1089" s="10">
        <v>5.5</v>
      </c>
      <c r="F1089" s="116"/>
      <c r="G1089" s="116"/>
      <c r="H1089" s="116"/>
      <c r="I1089" s="23" t="s">
        <v>516</v>
      </c>
      <c r="J1089" s="223"/>
    </row>
    <row r="1090" spans="1:10" s="144" customFormat="1" ht="12.75" x14ac:dyDescent="0.25">
      <c r="A1090" s="21">
        <v>525100196</v>
      </c>
      <c r="B1090" s="22" t="s">
        <v>2250</v>
      </c>
      <c r="C1090" s="116">
        <v>83</v>
      </c>
      <c r="D1090" s="116">
        <v>3810</v>
      </c>
      <c r="E1090" s="116">
        <v>4.2</v>
      </c>
      <c r="F1090" s="116"/>
      <c r="G1090" s="116"/>
      <c r="H1090" s="10" t="s">
        <v>2352</v>
      </c>
      <c r="I1090" s="23" t="s">
        <v>153</v>
      </c>
      <c r="J1090" s="223"/>
    </row>
    <row r="1091" spans="1:10" s="144" customFormat="1" ht="12.75" x14ac:dyDescent="0.25">
      <c r="A1091" s="21">
        <v>370851000</v>
      </c>
      <c r="B1091" s="22" t="s">
        <v>2251</v>
      </c>
      <c r="C1091" s="116">
        <v>127</v>
      </c>
      <c r="D1091" s="116">
        <v>9932</v>
      </c>
      <c r="E1091" s="116">
        <v>6.8</v>
      </c>
      <c r="F1091" s="116"/>
      <c r="G1091" s="116"/>
      <c r="H1091" s="116"/>
      <c r="I1091" s="23" t="s">
        <v>262</v>
      </c>
      <c r="J1091" s="223"/>
    </row>
    <row r="1092" spans="1:10" s="144" customFormat="1" ht="12.75" x14ac:dyDescent="0.25">
      <c r="A1092" s="21">
        <v>538006789</v>
      </c>
      <c r="B1092" s="115" t="s">
        <v>2252</v>
      </c>
      <c r="C1092" s="116">
        <v>144</v>
      </c>
      <c r="D1092" s="116">
        <v>12138</v>
      </c>
      <c r="E1092" s="116">
        <v>9.9</v>
      </c>
      <c r="F1092" s="116"/>
      <c r="G1092" s="116"/>
      <c r="H1092" s="10" t="s">
        <v>2351</v>
      </c>
      <c r="I1092" s="117" t="s">
        <v>1895</v>
      </c>
      <c r="J1092" s="223"/>
    </row>
    <row r="1093" spans="1:10" s="144" customFormat="1" ht="12.75" x14ac:dyDescent="0.25">
      <c r="A1093" s="21">
        <v>413334720</v>
      </c>
      <c r="B1093" s="115" t="s">
        <v>2253</v>
      </c>
      <c r="C1093" s="116">
        <v>139</v>
      </c>
      <c r="D1093" s="116">
        <v>8611</v>
      </c>
      <c r="E1093" s="116">
        <v>7.8</v>
      </c>
      <c r="F1093" s="116"/>
      <c r="G1093" s="116"/>
      <c r="H1093" s="116"/>
      <c r="I1093" s="117" t="s">
        <v>516</v>
      </c>
      <c r="J1093" s="223"/>
    </row>
    <row r="1094" spans="1:10" s="144" customFormat="1" ht="12.75" x14ac:dyDescent="0.25">
      <c r="A1094" s="21">
        <v>667001998</v>
      </c>
      <c r="B1094" s="22" t="s">
        <v>2254</v>
      </c>
      <c r="C1094" s="116">
        <v>97</v>
      </c>
      <c r="D1094" s="116">
        <v>2953</v>
      </c>
      <c r="E1094" s="116">
        <v>5.9</v>
      </c>
      <c r="F1094" s="116"/>
      <c r="G1094" s="116"/>
      <c r="H1094" s="116"/>
      <c r="I1094" s="23" t="s">
        <v>262</v>
      </c>
      <c r="J1094" s="223"/>
    </row>
    <row r="1095" spans="1:10" s="144" customFormat="1" ht="12.75" x14ac:dyDescent="0.25">
      <c r="A1095" s="7">
        <v>525010294</v>
      </c>
      <c r="B1095" s="22" t="s">
        <v>2255</v>
      </c>
      <c r="C1095" s="10" t="s">
        <v>1913</v>
      </c>
      <c r="D1095" s="10" t="s">
        <v>1914</v>
      </c>
      <c r="E1095" s="10" t="s">
        <v>1915</v>
      </c>
      <c r="F1095" s="76"/>
      <c r="G1095" s="76"/>
      <c r="H1095" s="76"/>
      <c r="I1095" s="82" t="s">
        <v>150</v>
      </c>
      <c r="J1095" s="223"/>
    </row>
    <row r="1096" spans="1:10" s="144" customFormat="1" ht="12.75" x14ac:dyDescent="0.25">
      <c r="A1096" s="24">
        <v>525006314</v>
      </c>
      <c r="B1096" s="22" t="s">
        <v>2840</v>
      </c>
      <c r="C1096" s="10" t="s">
        <v>1070</v>
      </c>
      <c r="D1096" s="10" t="s">
        <v>2841</v>
      </c>
      <c r="E1096" s="10" t="s">
        <v>711</v>
      </c>
      <c r="F1096" s="89"/>
      <c r="G1096" s="89"/>
      <c r="H1096" s="89"/>
      <c r="I1096" s="23" t="s">
        <v>2256</v>
      </c>
      <c r="J1096" s="223"/>
    </row>
    <row r="1097" spans="1:10" s="144" customFormat="1" ht="12.75" x14ac:dyDescent="0.25">
      <c r="A1097" s="24">
        <v>525016137</v>
      </c>
      <c r="B1097" s="115" t="s">
        <v>2257</v>
      </c>
      <c r="C1097" s="116" t="s">
        <v>2258</v>
      </c>
      <c r="D1097" s="116" t="s">
        <v>2259</v>
      </c>
      <c r="E1097" s="116" t="s">
        <v>2073</v>
      </c>
      <c r="F1097" s="116"/>
      <c r="G1097" s="116"/>
      <c r="H1097" s="116"/>
      <c r="I1097" s="117" t="s">
        <v>46</v>
      </c>
      <c r="J1097" s="223"/>
    </row>
    <row r="1098" spans="1:10" s="144" customFormat="1" ht="12.75" x14ac:dyDescent="0.25">
      <c r="A1098" s="24">
        <v>525021304</v>
      </c>
      <c r="B1098" s="115" t="s">
        <v>2260</v>
      </c>
      <c r="C1098" s="116">
        <v>92</v>
      </c>
      <c r="D1098" s="116">
        <v>2347</v>
      </c>
      <c r="E1098" s="116">
        <v>5.3</v>
      </c>
      <c r="F1098" s="116"/>
      <c r="G1098" s="116"/>
      <c r="H1098" s="116"/>
      <c r="I1098" s="117" t="s">
        <v>39</v>
      </c>
      <c r="J1098" s="223"/>
    </row>
    <row r="1099" spans="1:10" s="144" customFormat="1" ht="12.75" x14ac:dyDescent="0.25">
      <c r="A1099" s="24">
        <v>525003119</v>
      </c>
      <c r="B1099" s="115" t="s">
        <v>2261</v>
      </c>
      <c r="C1099" s="116">
        <v>63</v>
      </c>
      <c r="D1099" s="116">
        <v>1242</v>
      </c>
      <c r="E1099" s="116">
        <v>3.2</v>
      </c>
      <c r="F1099" s="116"/>
      <c r="G1099" s="116"/>
      <c r="H1099" s="116"/>
      <c r="I1099" s="117" t="s">
        <v>260</v>
      </c>
      <c r="J1099" s="223"/>
    </row>
    <row r="1100" spans="1:10" s="144" customFormat="1" ht="12.75" x14ac:dyDescent="0.25">
      <c r="A1100" s="24">
        <v>403646000</v>
      </c>
      <c r="B1100" s="22" t="s">
        <v>2262</v>
      </c>
      <c r="C1100" s="116">
        <v>183</v>
      </c>
      <c r="D1100" s="116">
        <v>33817</v>
      </c>
      <c r="E1100" s="116">
        <v>9.1</v>
      </c>
      <c r="F1100" s="116"/>
      <c r="G1100" s="116"/>
      <c r="H1100" s="116"/>
      <c r="I1100" s="23" t="s">
        <v>160</v>
      </c>
      <c r="J1100" s="223"/>
    </row>
    <row r="1101" spans="1:10" s="144" customFormat="1" ht="12.75" x14ac:dyDescent="0.25">
      <c r="A1101" s="24">
        <v>538008755</v>
      </c>
      <c r="B1101" s="22" t="s">
        <v>2263</v>
      </c>
      <c r="C1101" s="10">
        <v>260</v>
      </c>
      <c r="D1101" s="10">
        <v>39984</v>
      </c>
      <c r="E1101" s="10">
        <v>8.6999999999999993</v>
      </c>
      <c r="F1101" s="10"/>
      <c r="G1101" s="10"/>
      <c r="H1101" s="10"/>
      <c r="I1101" s="23" t="s">
        <v>39</v>
      </c>
      <c r="J1101" s="223"/>
    </row>
    <row r="1102" spans="1:10" s="144" customFormat="1" ht="12.75" x14ac:dyDescent="0.25">
      <c r="A1102" s="24">
        <v>525100070</v>
      </c>
      <c r="B1102" s="22" t="s">
        <v>2265</v>
      </c>
      <c r="C1102" s="10" t="s">
        <v>2266</v>
      </c>
      <c r="D1102" s="10" t="s">
        <v>2267</v>
      </c>
      <c r="E1102" s="10" t="s">
        <v>711</v>
      </c>
      <c r="F1102" s="10"/>
      <c r="G1102" s="10"/>
      <c r="H1102" s="10"/>
      <c r="I1102" s="23" t="s">
        <v>2268</v>
      </c>
      <c r="J1102" s="223"/>
    </row>
    <row r="1103" spans="1:10" s="144" customFormat="1" ht="12.75" x14ac:dyDescent="0.25">
      <c r="A1103" s="24">
        <v>538010555</v>
      </c>
      <c r="B1103" s="22" t="s">
        <v>2269</v>
      </c>
      <c r="C1103" s="10">
        <v>229</v>
      </c>
      <c r="D1103" s="10">
        <v>47984</v>
      </c>
      <c r="E1103" s="10">
        <v>7.6</v>
      </c>
      <c r="F1103" s="10"/>
      <c r="G1103" s="10"/>
      <c r="H1103" s="10"/>
      <c r="I1103" s="23" t="s">
        <v>516</v>
      </c>
      <c r="J1103" s="223"/>
    </row>
    <row r="1104" spans="1:10" s="144" customFormat="1" ht="12.75" x14ac:dyDescent="0.25">
      <c r="A1104" s="24">
        <v>525300617</v>
      </c>
      <c r="B1104" s="22" t="s">
        <v>2272</v>
      </c>
      <c r="C1104" s="10" t="s">
        <v>2273</v>
      </c>
      <c r="D1104" s="10" t="s">
        <v>2092</v>
      </c>
      <c r="E1104" s="10" t="s">
        <v>2274</v>
      </c>
      <c r="F1104" s="10"/>
      <c r="G1104" s="10"/>
      <c r="H1104" s="10"/>
      <c r="I1104" s="23" t="s">
        <v>249</v>
      </c>
      <c r="J1104" s="223"/>
    </row>
    <row r="1105" spans="1:10" s="144" customFormat="1" ht="12.75" x14ac:dyDescent="0.25">
      <c r="A1105" s="24">
        <v>525005190</v>
      </c>
      <c r="B1105" s="118" t="s">
        <v>2277</v>
      </c>
      <c r="C1105" s="119" t="s">
        <v>2151</v>
      </c>
      <c r="D1105" s="119" t="s">
        <v>2275</v>
      </c>
      <c r="E1105" s="119" t="s">
        <v>711</v>
      </c>
      <c r="F1105" s="119"/>
      <c r="G1105" s="119"/>
      <c r="H1105" s="119"/>
      <c r="I1105" s="120" t="s">
        <v>1432</v>
      </c>
      <c r="J1105" s="223"/>
    </row>
    <row r="1106" spans="1:10" s="144" customFormat="1" ht="12.75" x14ac:dyDescent="0.25">
      <c r="A1106" s="21">
        <v>255805609</v>
      </c>
      <c r="B1106" s="22" t="s">
        <v>2278</v>
      </c>
      <c r="C1106" s="10">
        <v>300</v>
      </c>
      <c r="D1106" s="10">
        <v>107553</v>
      </c>
      <c r="E1106" s="10">
        <v>11.6</v>
      </c>
      <c r="F1106" s="119"/>
      <c r="G1106" s="119"/>
      <c r="H1106" s="10" t="s">
        <v>1144</v>
      </c>
      <c r="I1106" s="120" t="s">
        <v>154</v>
      </c>
      <c r="J1106" s="223"/>
    </row>
    <row r="1107" spans="1:10" s="144" customFormat="1" ht="12.75" x14ac:dyDescent="0.25">
      <c r="A1107" s="20">
        <v>525003648</v>
      </c>
      <c r="B1107" s="18" t="s">
        <v>2279</v>
      </c>
      <c r="C1107" s="119" t="s">
        <v>2280</v>
      </c>
      <c r="D1107" s="119" t="s">
        <v>797</v>
      </c>
      <c r="E1107" s="119" t="s">
        <v>2281</v>
      </c>
      <c r="F1107" s="119"/>
      <c r="G1107" s="119"/>
      <c r="H1107" s="119"/>
      <c r="I1107" s="120" t="s">
        <v>39</v>
      </c>
      <c r="J1107" s="223"/>
    </row>
    <row r="1108" spans="1:10" s="144" customFormat="1" ht="12.75" x14ac:dyDescent="0.25">
      <c r="A1108" s="24">
        <v>538010837</v>
      </c>
      <c r="B1108" s="22" t="s">
        <v>2282</v>
      </c>
      <c r="C1108" s="119">
        <v>260</v>
      </c>
      <c r="D1108" s="119">
        <v>39906</v>
      </c>
      <c r="E1108" s="119">
        <v>8.9</v>
      </c>
      <c r="F1108" s="119"/>
      <c r="G1108" s="119"/>
      <c r="H1108" s="119"/>
      <c r="I1108" s="23" t="s">
        <v>268</v>
      </c>
      <c r="J1108" s="223"/>
    </row>
    <row r="1109" spans="1:10" s="144" customFormat="1" ht="12.75" x14ac:dyDescent="0.25">
      <c r="A1109" s="24">
        <v>374419000</v>
      </c>
      <c r="B1109" s="22" t="s">
        <v>2283</v>
      </c>
      <c r="C1109" s="119">
        <v>183</v>
      </c>
      <c r="D1109" s="119">
        <v>23680</v>
      </c>
      <c r="E1109" s="119">
        <v>11.5</v>
      </c>
      <c r="F1109" s="119"/>
      <c r="G1109" s="119"/>
      <c r="H1109" s="119"/>
      <c r="I1109" s="23" t="s">
        <v>160</v>
      </c>
      <c r="J1109" s="223"/>
    </row>
    <row r="1110" spans="1:10" s="144" customFormat="1" ht="12.75" x14ac:dyDescent="0.25">
      <c r="A1110" s="24">
        <v>525601358</v>
      </c>
      <c r="B1110" s="22" t="s">
        <v>2284</v>
      </c>
      <c r="C1110" s="10" t="s">
        <v>2285</v>
      </c>
      <c r="D1110" s="10" t="s">
        <v>2286</v>
      </c>
      <c r="E1110" s="10" t="s">
        <v>2287</v>
      </c>
      <c r="F1110" s="119"/>
      <c r="G1110" s="119"/>
      <c r="H1110" s="119"/>
      <c r="I1110" s="23" t="s">
        <v>39</v>
      </c>
      <c r="J1110" s="223"/>
    </row>
    <row r="1111" spans="1:10" s="144" customFormat="1" ht="12.75" x14ac:dyDescent="0.25">
      <c r="A1111" s="24">
        <v>525601081</v>
      </c>
      <c r="B1111" s="22" t="s">
        <v>2288</v>
      </c>
      <c r="C1111" s="10" t="s">
        <v>251</v>
      </c>
      <c r="D1111" s="10" t="s">
        <v>2289</v>
      </c>
      <c r="E1111" s="10" t="s">
        <v>2290</v>
      </c>
      <c r="F1111" s="119"/>
      <c r="G1111" s="119"/>
      <c r="H1111" s="119"/>
      <c r="I1111" s="120" t="s">
        <v>245</v>
      </c>
      <c r="J1111" s="223"/>
    </row>
    <row r="1112" spans="1:10" s="144" customFormat="1" ht="12.75" x14ac:dyDescent="0.25">
      <c r="A1112" s="24">
        <v>525007148</v>
      </c>
      <c r="B1112" s="118" t="s">
        <v>2291</v>
      </c>
      <c r="C1112" s="119" t="s">
        <v>2292</v>
      </c>
      <c r="D1112" s="119" t="s">
        <v>2293</v>
      </c>
      <c r="E1112" s="119" t="s">
        <v>2294</v>
      </c>
      <c r="F1112" s="119"/>
      <c r="G1112" s="119"/>
      <c r="H1112" s="119"/>
      <c r="I1112" s="120" t="s">
        <v>1895</v>
      </c>
      <c r="J1112" s="223"/>
    </row>
    <row r="1113" spans="1:10" s="144" customFormat="1" ht="12.75" x14ac:dyDescent="0.25">
      <c r="A1113" s="24">
        <v>538005865</v>
      </c>
      <c r="B1113" s="22" t="s">
        <v>2295</v>
      </c>
      <c r="C1113" s="10">
        <v>158</v>
      </c>
      <c r="D1113" s="10">
        <v>15591</v>
      </c>
      <c r="E1113" s="25">
        <v>6.4</v>
      </c>
      <c r="F1113" s="119"/>
      <c r="G1113" s="119"/>
      <c r="H1113" s="119"/>
      <c r="I1113" s="120" t="s">
        <v>2096</v>
      </c>
      <c r="J1113" s="223"/>
    </row>
    <row r="1114" spans="1:10" s="144" customFormat="1" ht="12.75" x14ac:dyDescent="0.25">
      <c r="A1114" s="24">
        <v>525004129</v>
      </c>
      <c r="B1114" s="118" t="s">
        <v>2296</v>
      </c>
      <c r="C1114" s="10" t="s">
        <v>2114</v>
      </c>
      <c r="D1114" s="10" t="s">
        <v>2115</v>
      </c>
      <c r="E1114" s="10" t="s">
        <v>243</v>
      </c>
      <c r="F1114" s="119"/>
      <c r="G1114" s="119"/>
      <c r="H1114" s="119"/>
      <c r="I1114" s="120" t="s">
        <v>249</v>
      </c>
      <c r="J1114" s="223"/>
    </row>
    <row r="1115" spans="1:10" s="144" customFormat="1" ht="12.75" x14ac:dyDescent="0.25">
      <c r="A1115" s="24">
        <v>525021181</v>
      </c>
      <c r="B1115" s="22" t="s">
        <v>2297</v>
      </c>
      <c r="C1115" s="119">
        <v>88</v>
      </c>
      <c r="D1115" s="119">
        <v>2384</v>
      </c>
      <c r="E1115" s="119">
        <v>3.8</v>
      </c>
      <c r="F1115" s="119"/>
      <c r="G1115" s="119"/>
      <c r="H1115" s="119"/>
      <c r="I1115" s="23" t="s">
        <v>92</v>
      </c>
      <c r="J1115" s="223"/>
    </row>
    <row r="1116" spans="1:10" s="144" customFormat="1" ht="12.75" x14ac:dyDescent="0.25">
      <c r="A1116" s="24">
        <v>525601071</v>
      </c>
      <c r="B1116" s="22" t="s">
        <v>2298</v>
      </c>
      <c r="C1116" s="10" t="s">
        <v>2299</v>
      </c>
      <c r="D1116" s="10" t="s">
        <v>2300</v>
      </c>
      <c r="E1116" s="10" t="s">
        <v>3044</v>
      </c>
      <c r="F1116" s="119"/>
      <c r="G1116" s="119"/>
      <c r="H1116" s="119"/>
      <c r="I1116" s="23" t="s">
        <v>46</v>
      </c>
      <c r="J1116" s="223"/>
    </row>
    <row r="1117" spans="1:10" s="144" customFormat="1" ht="12.75" x14ac:dyDescent="0.25">
      <c r="A1117" s="24">
        <v>525023362</v>
      </c>
      <c r="B1117" s="22" t="s">
        <v>2302</v>
      </c>
      <c r="C1117" s="119">
        <v>25</v>
      </c>
      <c r="D1117" s="119">
        <v>360</v>
      </c>
      <c r="E1117" s="119">
        <v>2.5</v>
      </c>
      <c r="F1117" s="119"/>
      <c r="G1117" s="119"/>
      <c r="H1117" s="119"/>
      <c r="I1117" s="23" t="s">
        <v>2303</v>
      </c>
      <c r="J1117" s="223"/>
    </row>
    <row r="1118" spans="1:10" s="144" customFormat="1" ht="12.75" x14ac:dyDescent="0.25">
      <c r="A1118" s="24">
        <v>525003254</v>
      </c>
      <c r="B1118" s="118" t="s">
        <v>2305</v>
      </c>
      <c r="C1118" s="119" t="s">
        <v>2306</v>
      </c>
      <c r="D1118" s="119" t="s">
        <v>2307</v>
      </c>
      <c r="E1118" s="119" t="s">
        <v>2308</v>
      </c>
      <c r="F1118" s="119"/>
      <c r="G1118" s="119"/>
      <c r="H1118" s="119"/>
      <c r="I1118" s="120" t="s">
        <v>245</v>
      </c>
      <c r="J1118" s="223"/>
    </row>
    <row r="1119" spans="1:10" s="144" customFormat="1" ht="12.75" x14ac:dyDescent="0.25">
      <c r="A1119" s="24">
        <v>636021928</v>
      </c>
      <c r="B1119" s="118" t="s">
        <v>2309</v>
      </c>
      <c r="C1119" s="119">
        <v>179</v>
      </c>
      <c r="D1119" s="119">
        <v>22402</v>
      </c>
      <c r="E1119" s="119">
        <v>10.5</v>
      </c>
      <c r="F1119" s="119"/>
      <c r="G1119" s="119"/>
      <c r="H1119" s="119"/>
      <c r="I1119" s="120" t="s">
        <v>817</v>
      </c>
      <c r="J1119" s="223"/>
    </row>
    <row r="1120" spans="1:10" s="144" customFormat="1" ht="12.75" x14ac:dyDescent="0.25">
      <c r="A1120" s="24">
        <v>525501964</v>
      </c>
      <c r="B1120" s="22" t="s">
        <v>2312</v>
      </c>
      <c r="C1120" s="10" t="s">
        <v>2313</v>
      </c>
      <c r="D1120" s="10" t="s">
        <v>2314</v>
      </c>
      <c r="E1120" s="10" t="s">
        <v>711</v>
      </c>
      <c r="F1120" s="119"/>
      <c r="G1120" s="119"/>
      <c r="H1120" s="119"/>
      <c r="I1120" s="23" t="s">
        <v>46</v>
      </c>
      <c r="J1120" s="223"/>
    </row>
    <row r="1121" spans="1:10" s="144" customFormat="1" ht="12.75" x14ac:dyDescent="0.25">
      <c r="A1121" s="24">
        <v>636016973</v>
      </c>
      <c r="B1121" s="118" t="s">
        <v>2315</v>
      </c>
      <c r="C1121" s="119">
        <v>231</v>
      </c>
      <c r="D1121" s="119">
        <v>35991</v>
      </c>
      <c r="E1121" s="119">
        <v>11.3</v>
      </c>
      <c r="F1121" s="119"/>
      <c r="G1121" s="119"/>
      <c r="H1121" s="119"/>
      <c r="I1121" s="23" t="s">
        <v>1051</v>
      </c>
      <c r="J1121" s="223"/>
    </row>
    <row r="1122" spans="1:10" s="144" customFormat="1" ht="12.75" x14ac:dyDescent="0.25">
      <c r="A1122" s="24">
        <v>525500732</v>
      </c>
      <c r="B1122" s="22" t="s">
        <v>2316</v>
      </c>
      <c r="C1122" s="10">
        <v>35</v>
      </c>
      <c r="D1122" s="10">
        <v>298</v>
      </c>
      <c r="E1122" s="10">
        <v>4.8</v>
      </c>
      <c r="F1122" s="119"/>
      <c r="G1122" s="119"/>
      <c r="H1122" s="119"/>
      <c r="I1122" s="23" t="s">
        <v>2350</v>
      </c>
      <c r="J1122" s="223"/>
    </row>
    <row r="1123" spans="1:10" s="144" customFormat="1" ht="12.75" x14ac:dyDescent="0.25">
      <c r="A1123" s="24">
        <v>525006363</v>
      </c>
      <c r="B1123" s="22" t="s">
        <v>2317</v>
      </c>
      <c r="C1123" s="10" t="s">
        <v>615</v>
      </c>
      <c r="D1123" s="10" t="s">
        <v>2318</v>
      </c>
      <c r="E1123" s="10" t="s">
        <v>2152</v>
      </c>
      <c r="F1123" s="119"/>
      <c r="G1123" s="119"/>
      <c r="H1123" s="119"/>
      <c r="I1123" s="23" t="s">
        <v>2256</v>
      </c>
      <c r="J1123" s="223"/>
    </row>
    <row r="1124" spans="1:10" s="144" customFormat="1" ht="12.75" x14ac:dyDescent="0.25">
      <c r="A1124" s="21">
        <v>525012282</v>
      </c>
      <c r="B1124" s="22" t="s">
        <v>2320</v>
      </c>
      <c r="C1124" s="10" t="s">
        <v>2321</v>
      </c>
      <c r="D1124" s="10" t="s">
        <v>2322</v>
      </c>
      <c r="E1124" s="10" t="s">
        <v>1729</v>
      </c>
      <c r="F1124" s="10"/>
      <c r="G1124" s="10"/>
      <c r="H1124" s="10"/>
      <c r="I1124" s="23" t="s">
        <v>1663</v>
      </c>
      <c r="J1124" s="223"/>
    </row>
    <row r="1125" spans="1:10" s="144" customFormat="1" ht="12.75" x14ac:dyDescent="0.25">
      <c r="A1125" s="24">
        <v>525100246</v>
      </c>
      <c r="B1125" s="22" t="s">
        <v>2323</v>
      </c>
      <c r="C1125" s="10" t="s">
        <v>2324</v>
      </c>
      <c r="D1125" s="10" t="s">
        <v>2325</v>
      </c>
      <c r="E1125" s="10" t="s">
        <v>2326</v>
      </c>
      <c r="F1125" s="119"/>
      <c r="G1125" s="119"/>
      <c r="H1125" s="119"/>
      <c r="I1125" s="23" t="s">
        <v>1432</v>
      </c>
      <c r="J1125" s="223"/>
    </row>
    <row r="1126" spans="1:10" s="144" customFormat="1" ht="12.75" x14ac:dyDescent="0.25">
      <c r="A1126" s="24">
        <v>525300729</v>
      </c>
      <c r="B1126" s="22" t="s">
        <v>2332</v>
      </c>
      <c r="C1126" s="10" t="s">
        <v>2327</v>
      </c>
      <c r="D1126" s="10" t="s">
        <v>2328</v>
      </c>
      <c r="E1126" s="10" t="s">
        <v>2329</v>
      </c>
      <c r="F1126" s="119"/>
      <c r="G1126" s="119"/>
      <c r="H1126" s="119"/>
      <c r="I1126" s="23" t="s">
        <v>245</v>
      </c>
      <c r="J1126" s="223"/>
    </row>
    <row r="1127" spans="1:10" s="144" customFormat="1" ht="12.75" x14ac:dyDescent="0.25">
      <c r="A1127" s="24">
        <v>525301038</v>
      </c>
      <c r="B1127" s="22" t="s">
        <v>2330</v>
      </c>
      <c r="C1127" s="7" t="s">
        <v>2333</v>
      </c>
      <c r="D1127" s="7" t="s">
        <v>2334</v>
      </c>
      <c r="E1127" s="7" t="s">
        <v>2335</v>
      </c>
      <c r="F1127" s="119"/>
      <c r="G1127" s="119"/>
      <c r="H1127" s="119"/>
      <c r="I1127" s="23" t="s">
        <v>245</v>
      </c>
      <c r="J1127" s="223"/>
    </row>
    <row r="1128" spans="1:10" s="144" customFormat="1" ht="12.75" x14ac:dyDescent="0.25">
      <c r="A1128" s="24">
        <v>567111000</v>
      </c>
      <c r="B1128" s="22" t="s">
        <v>2336</v>
      </c>
      <c r="C1128" s="119">
        <v>1999.9</v>
      </c>
      <c r="D1128" s="119">
        <v>36416</v>
      </c>
      <c r="E1128" s="119">
        <v>12.5</v>
      </c>
      <c r="F1128" s="119"/>
      <c r="G1128" s="119"/>
      <c r="H1128" s="10" t="s">
        <v>1149</v>
      </c>
      <c r="I1128" s="23" t="s">
        <v>262</v>
      </c>
      <c r="J1128" s="223"/>
    </row>
    <row r="1129" spans="1:10" s="144" customFormat="1" ht="12.75" x14ac:dyDescent="0.25">
      <c r="A1129" s="24">
        <v>414322000</v>
      </c>
      <c r="B1129" s="22" t="s">
        <v>2337</v>
      </c>
      <c r="C1129" s="119">
        <v>225</v>
      </c>
      <c r="D1129" s="119">
        <v>40437</v>
      </c>
      <c r="E1129" s="119">
        <v>7.8</v>
      </c>
      <c r="F1129" s="119"/>
      <c r="G1129" s="119"/>
      <c r="H1129" s="119"/>
      <c r="I1129" s="23" t="s">
        <v>268</v>
      </c>
      <c r="J1129" s="223"/>
    </row>
    <row r="1130" spans="1:10" s="144" customFormat="1" ht="12.75" x14ac:dyDescent="0.25">
      <c r="A1130" s="24">
        <v>525300261</v>
      </c>
      <c r="B1130" s="22" t="s">
        <v>2672</v>
      </c>
      <c r="C1130" s="10" t="s">
        <v>2338</v>
      </c>
      <c r="D1130" s="10" t="s">
        <v>2339</v>
      </c>
      <c r="E1130" s="10" t="s">
        <v>2340</v>
      </c>
      <c r="F1130" s="119"/>
      <c r="G1130" s="119"/>
      <c r="H1130" s="119"/>
      <c r="I1130" s="23" t="s">
        <v>92</v>
      </c>
      <c r="J1130" s="223"/>
    </row>
    <row r="1131" spans="1:10" s="144" customFormat="1" ht="12.75" x14ac:dyDescent="0.25">
      <c r="A1131" s="24">
        <v>525101220</v>
      </c>
      <c r="B1131" s="22" t="s">
        <v>2341</v>
      </c>
      <c r="C1131" s="10" t="s">
        <v>2342</v>
      </c>
      <c r="D1131" s="10" t="s">
        <v>2343</v>
      </c>
      <c r="E1131" s="10" t="s">
        <v>2344</v>
      </c>
      <c r="F1131" s="119"/>
      <c r="G1131" s="119"/>
      <c r="H1131" s="10" t="s">
        <v>368</v>
      </c>
      <c r="I1131" s="23" t="s">
        <v>150</v>
      </c>
      <c r="J1131" s="223"/>
    </row>
    <row r="1132" spans="1:10" s="144" customFormat="1" ht="12.75" x14ac:dyDescent="0.25">
      <c r="A1132" s="24">
        <v>538010145</v>
      </c>
      <c r="B1132" s="22" t="s">
        <v>2345</v>
      </c>
      <c r="C1132" s="119">
        <v>229</v>
      </c>
      <c r="D1132" s="119">
        <v>44686</v>
      </c>
      <c r="E1132" s="10" t="s">
        <v>1874</v>
      </c>
      <c r="F1132" s="119"/>
      <c r="G1132" s="119"/>
      <c r="H1132" s="119"/>
      <c r="I1132" s="23" t="s">
        <v>1534</v>
      </c>
      <c r="J1132" s="223"/>
    </row>
    <row r="1133" spans="1:10" s="144" customFormat="1" ht="12.75" x14ac:dyDescent="0.25">
      <c r="A1133" s="21">
        <v>525101687</v>
      </c>
      <c r="B1133" s="22" t="s">
        <v>2346</v>
      </c>
      <c r="C1133" s="10">
        <v>48</v>
      </c>
      <c r="D1133" s="10">
        <v>471</v>
      </c>
      <c r="E1133" s="25" t="s">
        <v>3656</v>
      </c>
      <c r="F1133" s="10"/>
      <c r="G1133" s="10"/>
      <c r="H1133" s="10" t="s">
        <v>2347</v>
      </c>
      <c r="I1133" s="23" t="s">
        <v>2304</v>
      </c>
      <c r="J1133" s="223"/>
    </row>
    <row r="1134" spans="1:10" s="144" customFormat="1" ht="12.75" x14ac:dyDescent="0.25">
      <c r="A1134" s="21">
        <v>525200004</v>
      </c>
      <c r="B1134" s="22" t="s">
        <v>2348</v>
      </c>
      <c r="C1134" s="10">
        <v>63</v>
      </c>
      <c r="D1134" s="10">
        <v>1000</v>
      </c>
      <c r="E1134" s="10">
        <v>4.5999999999999996</v>
      </c>
      <c r="F1134" s="119"/>
      <c r="G1134" s="119"/>
      <c r="H1134" s="119"/>
      <c r="I1134" s="23" t="s">
        <v>39</v>
      </c>
      <c r="J1134" s="223"/>
    </row>
    <row r="1135" spans="1:10" s="144" customFormat="1" ht="12.75" x14ac:dyDescent="0.25">
      <c r="A1135" s="24">
        <v>351991000</v>
      </c>
      <c r="B1135" s="22" t="s">
        <v>2355</v>
      </c>
      <c r="C1135" s="119">
        <v>128</v>
      </c>
      <c r="D1135" s="119">
        <v>8560</v>
      </c>
      <c r="E1135" s="10" t="s">
        <v>1874</v>
      </c>
      <c r="F1135" s="119"/>
      <c r="G1135" s="119"/>
      <c r="H1135" s="119"/>
      <c r="I1135" s="23" t="s">
        <v>71</v>
      </c>
      <c r="J1135" s="223"/>
    </row>
    <row r="1136" spans="1:10" s="144" customFormat="1" ht="12.75" x14ac:dyDescent="0.25">
      <c r="A1136" s="24">
        <v>574002010</v>
      </c>
      <c r="B1136" s="22" t="s">
        <v>2356</v>
      </c>
      <c r="C1136" s="119">
        <v>92</v>
      </c>
      <c r="D1136" s="119">
        <v>2995</v>
      </c>
      <c r="E1136" s="119">
        <v>6.3</v>
      </c>
      <c r="F1136" s="119"/>
      <c r="G1136" s="119"/>
      <c r="H1136" s="119"/>
      <c r="I1136" s="23" t="s">
        <v>2096</v>
      </c>
      <c r="J1136" s="223"/>
    </row>
    <row r="1137" spans="1:10" s="144" customFormat="1" ht="12.75" x14ac:dyDescent="0.25">
      <c r="A1137" s="24">
        <v>525008045</v>
      </c>
      <c r="B1137" s="22" t="s">
        <v>2357</v>
      </c>
      <c r="C1137" s="119">
        <v>105</v>
      </c>
      <c r="D1137" s="119">
        <v>5263</v>
      </c>
      <c r="E1137" s="10" t="s">
        <v>112</v>
      </c>
      <c r="F1137" s="119"/>
      <c r="G1137" s="119"/>
      <c r="H1137" s="119"/>
      <c r="I1137" s="23" t="s">
        <v>96</v>
      </c>
      <c r="J1137" s="223"/>
    </row>
    <row r="1138" spans="1:10" s="144" customFormat="1" ht="12.75" x14ac:dyDescent="0.25">
      <c r="A1138" s="24">
        <v>636019523</v>
      </c>
      <c r="B1138" s="22" t="s">
        <v>2358</v>
      </c>
      <c r="C1138" s="10">
        <v>260</v>
      </c>
      <c r="D1138" s="10">
        <v>40966</v>
      </c>
      <c r="E1138" s="10" t="s">
        <v>1874</v>
      </c>
      <c r="F1138" s="10"/>
      <c r="G1138" s="10"/>
      <c r="H1138" s="10"/>
      <c r="I1138" s="23" t="s">
        <v>268</v>
      </c>
      <c r="J1138" s="223"/>
    </row>
    <row r="1139" spans="1:10" s="144" customFormat="1" ht="12.75" x14ac:dyDescent="0.25">
      <c r="A1139" s="24">
        <v>525501563</v>
      </c>
      <c r="B1139" s="22" t="s">
        <v>2359</v>
      </c>
      <c r="C1139" s="10">
        <v>30.28</v>
      </c>
      <c r="D1139" s="10">
        <v>245</v>
      </c>
      <c r="E1139" s="10">
        <v>3.3</v>
      </c>
      <c r="F1139" s="10"/>
      <c r="G1139" s="10"/>
      <c r="H1139" s="10"/>
      <c r="I1139" s="23" t="s">
        <v>183</v>
      </c>
      <c r="J1139" s="223"/>
    </row>
    <row r="1140" spans="1:10" s="144" customFormat="1" ht="12.75" x14ac:dyDescent="0.25">
      <c r="A1140" s="24">
        <v>538006743</v>
      </c>
      <c r="B1140" s="22" t="s">
        <v>2360</v>
      </c>
      <c r="C1140" s="10">
        <v>186</v>
      </c>
      <c r="D1140" s="10">
        <v>29375</v>
      </c>
      <c r="E1140" s="10">
        <v>13.2</v>
      </c>
      <c r="F1140" s="10"/>
      <c r="G1140" s="10"/>
      <c r="H1140" s="10"/>
      <c r="I1140" s="23" t="s">
        <v>160</v>
      </c>
      <c r="J1140" s="223"/>
    </row>
    <row r="1141" spans="1:10" s="144" customFormat="1" ht="12.75" x14ac:dyDescent="0.25">
      <c r="A1141" s="24">
        <v>525900241</v>
      </c>
      <c r="B1141" s="22" t="s">
        <v>2361</v>
      </c>
      <c r="C1141" s="10" t="s">
        <v>2362</v>
      </c>
      <c r="D1141" s="10" t="s">
        <v>2363</v>
      </c>
      <c r="E1141" s="10" t="s">
        <v>2364</v>
      </c>
      <c r="F1141" s="10"/>
      <c r="G1141" s="10"/>
      <c r="H1141" s="10"/>
      <c r="I1141" s="23" t="s">
        <v>39</v>
      </c>
      <c r="J1141" s="223"/>
    </row>
    <row r="1142" spans="1:10" s="144" customFormat="1" ht="12.75" x14ac:dyDescent="0.25">
      <c r="A1142" s="24">
        <v>525100209</v>
      </c>
      <c r="B1142" s="22" t="s">
        <v>2368</v>
      </c>
      <c r="C1142" s="10" t="s">
        <v>2365</v>
      </c>
      <c r="D1142" s="10" t="s">
        <v>2366</v>
      </c>
      <c r="E1142" s="10" t="s">
        <v>2367</v>
      </c>
      <c r="F1142" s="10"/>
      <c r="G1142" s="10"/>
      <c r="H1142" s="10"/>
      <c r="I1142" s="23" t="s">
        <v>92</v>
      </c>
      <c r="J1142" s="223"/>
    </row>
    <row r="1143" spans="1:10" s="144" customFormat="1" ht="12.75" x14ac:dyDescent="0.25">
      <c r="A1143" s="24">
        <v>525023327</v>
      </c>
      <c r="B1143" s="22" t="s">
        <v>2369</v>
      </c>
      <c r="C1143" s="116">
        <v>73</v>
      </c>
      <c r="D1143" s="116">
        <v>1559</v>
      </c>
      <c r="E1143" s="116">
        <v>3.2</v>
      </c>
      <c r="F1143" s="10"/>
      <c r="G1143" s="10"/>
      <c r="H1143" s="10"/>
      <c r="I1143" s="23" t="s">
        <v>92</v>
      </c>
      <c r="J1143" s="223"/>
    </row>
    <row r="1144" spans="1:10" s="144" customFormat="1" ht="12.75" x14ac:dyDescent="0.25">
      <c r="A1144" s="24">
        <v>525003516</v>
      </c>
      <c r="B1144" s="121" t="s">
        <v>2370</v>
      </c>
      <c r="C1144" s="122">
        <v>62.06</v>
      </c>
      <c r="D1144" s="122">
        <v>1095</v>
      </c>
      <c r="E1144" s="122">
        <v>4.2</v>
      </c>
      <c r="F1144" s="122"/>
      <c r="G1144" s="122"/>
      <c r="H1144" s="122"/>
      <c r="I1144" s="123" t="s">
        <v>153</v>
      </c>
      <c r="J1144" s="223"/>
    </row>
    <row r="1145" spans="1:10" s="144" customFormat="1" ht="12.75" x14ac:dyDescent="0.25">
      <c r="A1145" s="24">
        <v>636019966</v>
      </c>
      <c r="B1145" s="22" t="s">
        <v>2371</v>
      </c>
      <c r="C1145" s="122">
        <v>240</v>
      </c>
      <c r="D1145" s="122">
        <v>54946</v>
      </c>
      <c r="E1145" s="122">
        <v>8.3000000000000007</v>
      </c>
      <c r="F1145" s="122"/>
      <c r="G1145" s="122"/>
      <c r="H1145" s="122"/>
      <c r="I1145" s="23" t="s">
        <v>154</v>
      </c>
      <c r="J1145" s="223"/>
    </row>
    <row r="1146" spans="1:10" s="144" customFormat="1" ht="12.75" x14ac:dyDescent="0.25">
      <c r="A1146" s="24">
        <v>525600494</v>
      </c>
      <c r="B1146" s="22" t="s">
        <v>2372</v>
      </c>
      <c r="C1146" s="122">
        <v>72</v>
      </c>
      <c r="D1146" s="122">
        <v>1130</v>
      </c>
      <c r="E1146" s="122">
        <v>4.4000000000000004</v>
      </c>
      <c r="F1146" s="122"/>
      <c r="G1146" s="122"/>
      <c r="H1146" s="122"/>
      <c r="I1146" s="23" t="s">
        <v>260</v>
      </c>
      <c r="J1146" s="223"/>
    </row>
    <row r="1147" spans="1:10" s="144" customFormat="1" ht="12.75" x14ac:dyDescent="0.25">
      <c r="A1147" s="24">
        <v>636023383</v>
      </c>
      <c r="B1147" s="22" t="s">
        <v>2373</v>
      </c>
      <c r="C1147" s="122">
        <v>187</v>
      </c>
      <c r="D1147" s="122">
        <v>28858</v>
      </c>
      <c r="E1147" s="10" t="s">
        <v>889</v>
      </c>
      <c r="F1147" s="122"/>
      <c r="G1147" s="122"/>
      <c r="H1147" s="122"/>
      <c r="I1147" s="23" t="s">
        <v>160</v>
      </c>
      <c r="J1147" s="223"/>
    </row>
    <row r="1148" spans="1:10" s="144" customFormat="1" ht="12.75" x14ac:dyDescent="0.25">
      <c r="A1148" s="24">
        <v>525001029</v>
      </c>
      <c r="B1148" s="22" t="s">
        <v>2374</v>
      </c>
      <c r="C1148" s="10" t="s">
        <v>2696</v>
      </c>
      <c r="D1148" s="10" t="s">
        <v>2697</v>
      </c>
      <c r="E1148" s="10" t="s">
        <v>2698</v>
      </c>
      <c r="F1148" s="122"/>
      <c r="G1148" s="122"/>
      <c r="H1148" s="122"/>
      <c r="I1148" s="23" t="s">
        <v>1432</v>
      </c>
      <c r="J1148" s="223"/>
    </row>
    <row r="1149" spans="1:10" s="144" customFormat="1" ht="12.75" x14ac:dyDescent="0.25">
      <c r="A1149" s="24">
        <v>538009349</v>
      </c>
      <c r="B1149" s="22" t="s">
        <v>2375</v>
      </c>
      <c r="C1149" s="122">
        <v>225</v>
      </c>
      <c r="D1149" s="122">
        <v>41863</v>
      </c>
      <c r="E1149" s="10" t="s">
        <v>2376</v>
      </c>
      <c r="F1149" s="122"/>
      <c r="G1149" s="122"/>
      <c r="H1149" s="122"/>
      <c r="I1149" s="23" t="s">
        <v>154</v>
      </c>
      <c r="J1149" s="223"/>
    </row>
    <row r="1150" spans="1:10" s="144" customFormat="1" ht="12.75" x14ac:dyDescent="0.25">
      <c r="A1150" s="24">
        <v>235115734</v>
      </c>
      <c r="B1150" s="121" t="s">
        <v>2377</v>
      </c>
      <c r="C1150" s="122">
        <v>292</v>
      </c>
      <c r="D1150" s="122">
        <v>93488</v>
      </c>
      <c r="E1150" s="122">
        <v>12</v>
      </c>
      <c r="F1150" s="122"/>
      <c r="G1150" s="122"/>
      <c r="H1150" s="122"/>
      <c r="I1150" s="123" t="s">
        <v>273</v>
      </c>
      <c r="J1150" s="223"/>
    </row>
    <row r="1151" spans="1:10" s="144" customFormat="1" ht="12.75" x14ac:dyDescent="0.25">
      <c r="A1151" s="24">
        <v>353988000</v>
      </c>
      <c r="B1151" s="121" t="s">
        <v>2378</v>
      </c>
      <c r="C1151" s="122">
        <v>128</v>
      </c>
      <c r="D1151" s="122">
        <v>9815</v>
      </c>
      <c r="E1151" s="122">
        <v>9.6</v>
      </c>
      <c r="F1151" s="122"/>
      <c r="G1151" s="122"/>
      <c r="H1151" s="122"/>
      <c r="I1151" s="123" t="s">
        <v>262</v>
      </c>
      <c r="J1151" s="223"/>
    </row>
    <row r="1152" spans="1:10" s="144" customFormat="1" ht="12.75" x14ac:dyDescent="0.25">
      <c r="A1152" s="24">
        <v>525019655</v>
      </c>
      <c r="B1152" s="121" t="s">
        <v>2379</v>
      </c>
      <c r="C1152" s="122">
        <v>110</v>
      </c>
      <c r="D1152" s="122">
        <v>6943</v>
      </c>
      <c r="E1152" s="122">
        <v>6.6</v>
      </c>
      <c r="F1152" s="122"/>
      <c r="G1152" s="122"/>
      <c r="H1152" s="122"/>
      <c r="I1152" s="123" t="s">
        <v>1534</v>
      </c>
      <c r="J1152" s="223"/>
    </row>
    <row r="1153" spans="1:10" s="144" customFormat="1" ht="12.75" x14ac:dyDescent="0.25">
      <c r="A1153" s="24">
        <v>563083400</v>
      </c>
      <c r="B1153" s="121" t="s">
        <v>2380</v>
      </c>
      <c r="C1153" s="122">
        <v>186</v>
      </c>
      <c r="D1153" s="122">
        <v>32828</v>
      </c>
      <c r="E1153" s="122">
        <v>8</v>
      </c>
      <c r="F1153" s="122"/>
      <c r="G1153" s="122"/>
      <c r="H1153" s="122"/>
      <c r="I1153" s="123" t="s">
        <v>268</v>
      </c>
      <c r="J1153" s="223"/>
    </row>
    <row r="1154" spans="1:10" s="144" customFormat="1" ht="12.75" x14ac:dyDescent="0.25">
      <c r="A1154" s="24">
        <v>636023547</v>
      </c>
      <c r="B1154" s="121" t="s">
        <v>2381</v>
      </c>
      <c r="C1154" s="122">
        <v>120</v>
      </c>
      <c r="D1154" s="122">
        <v>5870</v>
      </c>
      <c r="E1154" s="122">
        <v>6.1</v>
      </c>
      <c r="F1154" s="122"/>
      <c r="G1154" s="122"/>
      <c r="H1154" s="122"/>
      <c r="I1154" s="123" t="s">
        <v>1895</v>
      </c>
      <c r="J1154" s="223"/>
    </row>
    <row r="1155" spans="1:10" s="144" customFormat="1" ht="12.75" x14ac:dyDescent="0.25">
      <c r="A1155" s="24">
        <v>525501642</v>
      </c>
      <c r="B1155" s="121" t="s">
        <v>2382</v>
      </c>
      <c r="C1155" s="122" t="s">
        <v>627</v>
      </c>
      <c r="D1155" s="122" t="s">
        <v>2383</v>
      </c>
      <c r="E1155" s="122" t="s">
        <v>2384</v>
      </c>
      <c r="F1155" s="122"/>
      <c r="G1155" s="122"/>
      <c r="H1155" s="122"/>
      <c r="I1155" s="123" t="s">
        <v>46</v>
      </c>
      <c r="J1155" s="223"/>
    </row>
    <row r="1156" spans="1:10" s="144" customFormat="1" ht="12.75" x14ac:dyDescent="0.25">
      <c r="A1156" s="24">
        <v>525401090</v>
      </c>
      <c r="B1156" s="22" t="s">
        <v>2385</v>
      </c>
      <c r="C1156" s="122">
        <v>159</v>
      </c>
      <c r="D1156" s="122">
        <v>15349</v>
      </c>
      <c r="E1156" s="122">
        <v>5.5</v>
      </c>
      <c r="F1156" s="122"/>
      <c r="G1156" s="122"/>
      <c r="H1156" s="122"/>
      <c r="I1156" s="23" t="s">
        <v>353</v>
      </c>
      <c r="J1156" s="223"/>
    </row>
    <row r="1157" spans="1:10" s="144" customFormat="1" ht="12.75" x14ac:dyDescent="0.25">
      <c r="A1157" s="24">
        <v>525500449</v>
      </c>
      <c r="B1157" s="22" t="s">
        <v>2386</v>
      </c>
      <c r="C1157" s="10" t="s">
        <v>2387</v>
      </c>
      <c r="D1157" s="10" t="s">
        <v>2388</v>
      </c>
      <c r="E1157" s="10" t="s">
        <v>2389</v>
      </c>
      <c r="F1157" s="122"/>
      <c r="G1157" s="122"/>
      <c r="H1157" s="122"/>
      <c r="I1157" s="23" t="s">
        <v>39</v>
      </c>
      <c r="J1157" s="223"/>
    </row>
    <row r="1158" spans="1:10" s="144" customFormat="1" ht="12.75" x14ac:dyDescent="0.25">
      <c r="A1158" s="24">
        <v>525601901</v>
      </c>
      <c r="B1158" s="22" t="s">
        <v>2390</v>
      </c>
      <c r="C1158" s="122">
        <v>190</v>
      </c>
      <c r="D1158" s="122">
        <v>32379</v>
      </c>
      <c r="E1158" s="10" t="s">
        <v>1754</v>
      </c>
      <c r="F1158" s="122"/>
      <c r="G1158" s="122"/>
      <c r="H1158" s="122"/>
      <c r="I1158" s="23" t="s">
        <v>249</v>
      </c>
      <c r="J1158" s="223"/>
    </row>
    <row r="1159" spans="1:10" s="144" customFormat="1" ht="12.75" x14ac:dyDescent="0.25">
      <c r="A1159" s="21">
        <v>525003647</v>
      </c>
      <c r="B1159" s="22" t="s">
        <v>2391</v>
      </c>
      <c r="C1159" s="10" t="s">
        <v>2392</v>
      </c>
      <c r="D1159" s="10" t="s">
        <v>2393</v>
      </c>
      <c r="E1159" s="10" t="s">
        <v>2394</v>
      </c>
      <c r="F1159" s="122"/>
      <c r="G1159" s="122"/>
      <c r="H1159" s="122"/>
      <c r="I1159" s="23" t="s">
        <v>1432</v>
      </c>
      <c r="J1159" s="223"/>
    </row>
    <row r="1160" spans="1:10" s="144" customFormat="1" ht="12.75" x14ac:dyDescent="0.25">
      <c r="A1160" s="24">
        <v>525006213</v>
      </c>
      <c r="B1160" s="121" t="s">
        <v>2395</v>
      </c>
      <c r="C1160" s="7" t="s">
        <v>2396</v>
      </c>
      <c r="D1160" s="7">
        <v>1993</v>
      </c>
      <c r="E1160" s="7">
        <v>3.1</v>
      </c>
      <c r="F1160" s="122"/>
      <c r="G1160" s="122"/>
      <c r="H1160" s="122"/>
      <c r="I1160" s="23" t="s">
        <v>145</v>
      </c>
      <c r="J1160" s="223"/>
    </row>
    <row r="1161" spans="1:10" s="144" customFormat="1" ht="12.75" x14ac:dyDescent="0.25">
      <c r="A1161" s="24">
        <v>525018367</v>
      </c>
      <c r="B1161" s="22" t="s">
        <v>2399</v>
      </c>
      <c r="C1161" s="122">
        <v>67.3</v>
      </c>
      <c r="D1161" s="122">
        <v>1937</v>
      </c>
      <c r="E1161" s="122">
        <v>3.8</v>
      </c>
      <c r="F1161" s="122"/>
      <c r="G1161" s="122"/>
      <c r="H1161" s="122"/>
      <c r="I1161" s="23" t="s">
        <v>39</v>
      </c>
      <c r="J1161" s="223"/>
    </row>
    <row r="1162" spans="1:10" s="144" customFormat="1" ht="12.75" x14ac:dyDescent="0.25">
      <c r="A1162" s="24">
        <v>525601920</v>
      </c>
      <c r="B1162" s="22" t="s">
        <v>2400</v>
      </c>
      <c r="C1162" s="10" t="s">
        <v>2401</v>
      </c>
      <c r="D1162" s="10" t="s">
        <v>2402</v>
      </c>
      <c r="E1162" s="122">
        <v>5</v>
      </c>
      <c r="F1162" s="122"/>
      <c r="G1162" s="122"/>
      <c r="H1162" s="122"/>
      <c r="I1162" s="23" t="s">
        <v>1895</v>
      </c>
      <c r="J1162" s="223"/>
    </row>
    <row r="1163" spans="1:10" s="144" customFormat="1" ht="12.75" x14ac:dyDescent="0.25">
      <c r="A1163" s="24">
        <v>525601570</v>
      </c>
      <c r="B1163" s="121" t="s">
        <v>2403</v>
      </c>
      <c r="C1163" s="122">
        <v>97</v>
      </c>
      <c r="D1163" s="122">
        <v>2996</v>
      </c>
      <c r="E1163" s="122">
        <v>3.2</v>
      </c>
      <c r="F1163" s="122"/>
      <c r="G1163" s="122"/>
      <c r="H1163" s="122"/>
      <c r="I1163" s="123" t="s">
        <v>1584</v>
      </c>
      <c r="J1163" s="223"/>
    </row>
    <row r="1164" spans="1:10" s="144" customFormat="1" ht="12.75" x14ac:dyDescent="0.25">
      <c r="A1164" s="24">
        <v>525010388</v>
      </c>
      <c r="B1164" s="121" t="s">
        <v>2404</v>
      </c>
      <c r="C1164" s="122" t="s">
        <v>2405</v>
      </c>
      <c r="D1164" s="122" t="s">
        <v>485</v>
      </c>
      <c r="E1164" s="122" t="s">
        <v>2406</v>
      </c>
      <c r="F1164" s="122"/>
      <c r="G1164" s="122"/>
      <c r="H1164" s="122"/>
      <c r="I1164" s="123" t="s">
        <v>39</v>
      </c>
      <c r="J1164" s="223"/>
    </row>
    <row r="1165" spans="1:10" s="144" customFormat="1" ht="12.75" x14ac:dyDescent="0.25">
      <c r="A1165" s="24">
        <v>525022287</v>
      </c>
      <c r="B1165" s="121" t="s">
        <v>2407</v>
      </c>
      <c r="C1165" s="122">
        <v>55</v>
      </c>
      <c r="D1165" s="122">
        <v>1917</v>
      </c>
      <c r="E1165" s="122">
        <v>4.4000000000000004</v>
      </c>
      <c r="F1165" s="122"/>
      <c r="G1165" s="122"/>
      <c r="H1165" s="122"/>
      <c r="I1165" s="123" t="s">
        <v>1036</v>
      </c>
      <c r="J1165" s="223"/>
    </row>
    <row r="1166" spans="1:10" s="144" customFormat="1" ht="12.75" x14ac:dyDescent="0.25">
      <c r="A1166" s="24">
        <v>525400950</v>
      </c>
      <c r="B1166" s="22" t="s">
        <v>2408</v>
      </c>
      <c r="C1166" s="10">
        <v>35</v>
      </c>
      <c r="D1166" s="10">
        <v>460</v>
      </c>
      <c r="E1166" s="10">
        <v>3.6</v>
      </c>
      <c r="F1166" s="122"/>
      <c r="G1166" s="122"/>
      <c r="H1166" s="122"/>
      <c r="I1166" s="23" t="s">
        <v>183</v>
      </c>
      <c r="J1166" s="223"/>
    </row>
    <row r="1167" spans="1:10" s="144" customFormat="1" ht="12.75" x14ac:dyDescent="0.25">
      <c r="A1167" s="7">
        <v>371543000</v>
      </c>
      <c r="B1167" s="121" t="s">
        <v>2409</v>
      </c>
      <c r="C1167" s="122">
        <v>214</v>
      </c>
      <c r="D1167" s="122">
        <v>27915</v>
      </c>
      <c r="E1167" s="122">
        <v>9.6999999999999993</v>
      </c>
      <c r="F1167" s="122"/>
      <c r="G1167" s="122"/>
      <c r="H1167" s="122"/>
      <c r="I1167" s="123" t="s">
        <v>920</v>
      </c>
      <c r="J1167" s="223"/>
    </row>
    <row r="1168" spans="1:10" s="144" customFormat="1" ht="12.75" x14ac:dyDescent="0.25">
      <c r="A1168" s="24">
        <v>212460000</v>
      </c>
      <c r="B1168" s="121" t="s">
        <v>2410</v>
      </c>
      <c r="C1168" s="122">
        <v>225</v>
      </c>
      <c r="D1168" s="122">
        <v>41759</v>
      </c>
      <c r="E1168" s="122">
        <v>13.5</v>
      </c>
      <c r="F1168" s="122"/>
      <c r="G1168" s="122"/>
      <c r="H1168" s="122"/>
      <c r="I1168" s="123" t="s">
        <v>154</v>
      </c>
      <c r="J1168" s="223"/>
    </row>
    <row r="1169" spans="1:10" s="144" customFormat="1" ht="12.75" x14ac:dyDescent="0.25">
      <c r="A1169" s="24">
        <v>525024304</v>
      </c>
      <c r="B1169" s="121" t="s">
        <v>2411</v>
      </c>
      <c r="C1169" s="122" t="s">
        <v>1164</v>
      </c>
      <c r="D1169" s="122" t="s">
        <v>2056</v>
      </c>
      <c r="E1169" s="122" t="s">
        <v>502</v>
      </c>
      <c r="F1169" s="122"/>
      <c r="G1169" s="122"/>
      <c r="H1169" s="122"/>
      <c r="I1169" s="123" t="s">
        <v>43</v>
      </c>
      <c r="J1169" s="223"/>
    </row>
    <row r="1170" spans="1:10" s="144" customFormat="1" ht="12.75" x14ac:dyDescent="0.25">
      <c r="A1170" s="24">
        <v>538005058</v>
      </c>
      <c r="B1170" s="22" t="s">
        <v>2412</v>
      </c>
      <c r="C1170" s="122">
        <v>200</v>
      </c>
      <c r="D1170" s="10">
        <v>36374</v>
      </c>
      <c r="E1170" s="122">
        <v>8.1999999999999993</v>
      </c>
      <c r="F1170" s="122"/>
      <c r="G1170" s="122"/>
      <c r="H1170" s="122"/>
      <c r="I1170" s="23" t="s">
        <v>920</v>
      </c>
      <c r="J1170" s="223"/>
    </row>
    <row r="1171" spans="1:10" s="144" customFormat="1" ht="12.75" x14ac:dyDescent="0.25">
      <c r="A1171" s="24">
        <v>525003045</v>
      </c>
      <c r="B1171" s="22" t="s">
        <v>2413</v>
      </c>
      <c r="C1171" s="10" t="s">
        <v>2415</v>
      </c>
      <c r="D1171" s="10" t="s">
        <v>2416</v>
      </c>
      <c r="E1171" s="10" t="s">
        <v>1975</v>
      </c>
      <c r="F1171" s="122"/>
      <c r="G1171" s="122"/>
      <c r="H1171" s="122"/>
      <c r="I1171" s="23" t="s">
        <v>2414</v>
      </c>
      <c r="J1171" s="223"/>
    </row>
    <row r="1172" spans="1:10" s="144" customFormat="1" ht="12.75" x14ac:dyDescent="0.25">
      <c r="A1172" s="24">
        <v>525005107</v>
      </c>
      <c r="B1172" s="22" t="s">
        <v>2417</v>
      </c>
      <c r="C1172" s="122">
        <v>64</v>
      </c>
      <c r="D1172" s="122">
        <v>804</v>
      </c>
      <c r="E1172" s="122">
        <v>3.6</v>
      </c>
      <c r="F1172" s="122"/>
      <c r="G1172" s="122"/>
      <c r="H1172" s="122"/>
      <c r="I1172" s="23" t="s">
        <v>260</v>
      </c>
      <c r="J1172" s="223"/>
    </row>
    <row r="1173" spans="1:10" s="144" customFormat="1" ht="12.75" x14ac:dyDescent="0.25">
      <c r="A1173" s="24">
        <v>212433000</v>
      </c>
      <c r="B1173" s="22" t="s">
        <v>2418</v>
      </c>
      <c r="C1173" s="7">
        <v>170</v>
      </c>
      <c r="D1173" s="122">
        <v>18226</v>
      </c>
      <c r="E1173" s="7">
        <v>7.3</v>
      </c>
      <c r="F1173" s="122"/>
      <c r="G1173" s="122"/>
      <c r="H1173" s="122"/>
      <c r="I1173" s="23" t="s">
        <v>268</v>
      </c>
      <c r="J1173" s="223"/>
    </row>
    <row r="1174" spans="1:10" s="144" customFormat="1" ht="12.75" x14ac:dyDescent="0.25">
      <c r="A1174" s="24">
        <v>314489000</v>
      </c>
      <c r="B1174" s="22" t="s">
        <v>2419</v>
      </c>
      <c r="C1174" s="122">
        <v>180</v>
      </c>
      <c r="D1174" s="122">
        <v>21192</v>
      </c>
      <c r="E1174" s="122">
        <v>9.6</v>
      </c>
      <c r="F1174" s="122"/>
      <c r="G1174" s="122"/>
      <c r="H1174" s="122"/>
      <c r="I1174" s="23" t="s">
        <v>516</v>
      </c>
      <c r="J1174" s="223"/>
    </row>
    <row r="1175" spans="1:10" s="144" customFormat="1" ht="12.75" x14ac:dyDescent="0.25">
      <c r="A1175" s="24">
        <v>525301045</v>
      </c>
      <c r="B1175" s="22" t="s">
        <v>2420</v>
      </c>
      <c r="C1175" s="122">
        <v>94.8</v>
      </c>
      <c r="D1175" s="122">
        <v>2642</v>
      </c>
      <c r="E1175" s="122">
        <v>4.8</v>
      </c>
      <c r="F1175" s="122"/>
      <c r="G1175" s="122"/>
      <c r="H1175" s="122"/>
      <c r="I1175" s="23" t="s">
        <v>1976</v>
      </c>
      <c r="J1175" s="223"/>
    </row>
    <row r="1176" spans="1:10" s="144" customFormat="1" ht="12.75" x14ac:dyDescent="0.25">
      <c r="A1176" s="21">
        <v>525015928</v>
      </c>
      <c r="B1176" s="124" t="s">
        <v>2421</v>
      </c>
      <c r="C1176" s="125">
        <v>86</v>
      </c>
      <c r="D1176" s="125">
        <v>2528</v>
      </c>
      <c r="E1176" s="125">
        <v>5.5</v>
      </c>
      <c r="F1176" s="122"/>
      <c r="G1176" s="122"/>
      <c r="H1176" s="122"/>
      <c r="I1176" s="23" t="s">
        <v>1595</v>
      </c>
      <c r="J1176" s="223"/>
    </row>
    <row r="1177" spans="1:10" s="144" customFormat="1" ht="12.75" x14ac:dyDescent="0.25">
      <c r="A1177" s="24">
        <v>525501318</v>
      </c>
      <c r="B1177" s="22" t="s">
        <v>2427</v>
      </c>
      <c r="C1177" s="10" t="s">
        <v>2422</v>
      </c>
      <c r="D1177" s="10" t="s">
        <v>2423</v>
      </c>
      <c r="E1177" s="10" t="s">
        <v>2424</v>
      </c>
      <c r="F1177" s="122"/>
      <c r="G1177" s="10" t="s">
        <v>2425</v>
      </c>
      <c r="H1177" s="122"/>
      <c r="I1177" s="23" t="s">
        <v>1895</v>
      </c>
      <c r="J1177" s="223"/>
    </row>
    <row r="1178" spans="1:10" s="144" customFormat="1" ht="12.75" x14ac:dyDescent="0.25">
      <c r="A1178" s="24">
        <v>525900655</v>
      </c>
      <c r="B1178" s="22" t="s">
        <v>2426</v>
      </c>
      <c r="C1178" s="10" t="s">
        <v>1164</v>
      </c>
      <c r="D1178" s="10" t="s">
        <v>706</v>
      </c>
      <c r="E1178" s="10" t="s">
        <v>2428</v>
      </c>
      <c r="F1178" s="122"/>
      <c r="G1178" s="10" t="s">
        <v>2425</v>
      </c>
      <c r="H1178" s="122"/>
      <c r="I1178" s="23" t="s">
        <v>43</v>
      </c>
      <c r="J1178" s="223"/>
    </row>
    <row r="1179" spans="1:10" s="144" customFormat="1" ht="12.75" x14ac:dyDescent="0.25">
      <c r="A1179" s="24">
        <v>525501059</v>
      </c>
      <c r="B1179" s="22" t="s">
        <v>2429</v>
      </c>
      <c r="C1179" s="10" t="s">
        <v>2430</v>
      </c>
      <c r="D1179" s="10" t="s">
        <v>2431</v>
      </c>
      <c r="E1179" s="10" t="s">
        <v>2734</v>
      </c>
      <c r="F1179" s="122"/>
      <c r="G1179" s="10" t="s">
        <v>2311</v>
      </c>
      <c r="H1179" s="122"/>
      <c r="I1179" s="23" t="s">
        <v>245</v>
      </c>
      <c r="J1179" s="223"/>
    </row>
    <row r="1180" spans="1:10" s="144" customFormat="1" ht="12.75" x14ac:dyDescent="0.25">
      <c r="A1180" s="24">
        <v>525006321</v>
      </c>
      <c r="B1180" s="22" t="s">
        <v>2433</v>
      </c>
      <c r="C1180" s="10" t="s">
        <v>2151</v>
      </c>
      <c r="D1180" s="10" t="s">
        <v>1665</v>
      </c>
      <c r="E1180" s="10" t="s">
        <v>2434</v>
      </c>
      <c r="F1180" s="10"/>
      <c r="G1180" s="10"/>
      <c r="H1180" s="10"/>
      <c r="I1180" s="23" t="s">
        <v>46</v>
      </c>
      <c r="J1180" s="223"/>
    </row>
    <row r="1181" spans="1:10" s="144" customFormat="1" ht="12.75" x14ac:dyDescent="0.25">
      <c r="A1181" s="21">
        <v>352002600</v>
      </c>
      <c r="B1181" s="22" t="s">
        <v>2436</v>
      </c>
      <c r="C1181" s="10">
        <v>229</v>
      </c>
      <c r="D1181" s="10">
        <v>43820</v>
      </c>
      <c r="E1181" s="25">
        <v>8.4</v>
      </c>
      <c r="F1181" s="122"/>
      <c r="G1181" s="122"/>
      <c r="H1181" s="122"/>
      <c r="I1181" s="23" t="s">
        <v>43</v>
      </c>
      <c r="J1181" s="223"/>
    </row>
    <row r="1182" spans="1:10" s="144" customFormat="1" ht="12.75" x14ac:dyDescent="0.25">
      <c r="A1182" s="24">
        <v>636019790</v>
      </c>
      <c r="B1182" s="121" t="s">
        <v>2437</v>
      </c>
      <c r="C1182" s="122">
        <v>199</v>
      </c>
      <c r="D1182" s="122">
        <v>35812</v>
      </c>
      <c r="E1182" s="122">
        <v>7.2</v>
      </c>
      <c r="F1182" s="122"/>
      <c r="G1182" s="122"/>
      <c r="H1182" s="122"/>
      <c r="I1182" s="23" t="s">
        <v>262</v>
      </c>
      <c r="J1182" s="223"/>
    </row>
    <row r="1183" spans="1:10" s="144" customFormat="1" ht="12.75" x14ac:dyDescent="0.25">
      <c r="A1183" s="24">
        <v>636019170</v>
      </c>
      <c r="B1183" s="22" t="s">
        <v>2438</v>
      </c>
      <c r="C1183" s="122">
        <v>199</v>
      </c>
      <c r="D1183" s="122">
        <v>35035</v>
      </c>
      <c r="E1183" s="122">
        <v>12.8</v>
      </c>
      <c r="F1183" s="122"/>
      <c r="G1183" s="122"/>
      <c r="H1183" s="122"/>
      <c r="I1183" s="23" t="s">
        <v>262</v>
      </c>
      <c r="J1183" s="223"/>
    </row>
    <row r="1184" spans="1:10" s="144" customFormat="1" ht="12.75" x14ac:dyDescent="0.25">
      <c r="A1184" s="24">
        <v>257798000</v>
      </c>
      <c r="B1184" s="22" t="s">
        <v>2439</v>
      </c>
      <c r="C1184" s="122">
        <v>199</v>
      </c>
      <c r="D1184" s="122">
        <v>34738</v>
      </c>
      <c r="E1184" s="122">
        <v>10.4</v>
      </c>
      <c r="F1184" s="122"/>
      <c r="G1184" s="122"/>
      <c r="H1184" s="122"/>
      <c r="I1184" s="23" t="s">
        <v>71</v>
      </c>
      <c r="J1184" s="223"/>
    </row>
    <row r="1185" spans="1:10" s="144" customFormat="1" ht="12.75" x14ac:dyDescent="0.25">
      <c r="A1185" s="24">
        <v>249955000</v>
      </c>
      <c r="B1185" s="22" t="s">
        <v>2440</v>
      </c>
      <c r="C1185" s="122">
        <v>143</v>
      </c>
      <c r="D1185" s="122">
        <v>8995</v>
      </c>
      <c r="E1185" s="122">
        <v>7.5</v>
      </c>
      <c r="F1185" s="122"/>
      <c r="G1185" s="122"/>
      <c r="H1185" s="122"/>
      <c r="I1185" s="23" t="s">
        <v>1976</v>
      </c>
      <c r="J1185" s="223"/>
    </row>
    <row r="1186" spans="1:10" s="144" customFormat="1" ht="12.75" x14ac:dyDescent="0.25">
      <c r="A1186" s="7">
        <v>525700944</v>
      </c>
      <c r="B1186" s="22" t="s">
        <v>2442</v>
      </c>
      <c r="C1186" s="10" t="s">
        <v>2443</v>
      </c>
      <c r="D1186" s="10" t="s">
        <v>2444</v>
      </c>
      <c r="E1186" s="122">
        <v>3.2</v>
      </c>
      <c r="F1186" s="122"/>
      <c r="G1186" s="10" t="s">
        <v>2445</v>
      </c>
      <c r="H1186" s="122"/>
      <c r="I1186" s="23" t="s">
        <v>39</v>
      </c>
      <c r="J1186" s="223"/>
    </row>
    <row r="1187" spans="1:10" s="144" customFormat="1" ht="12.75" x14ac:dyDescent="0.25">
      <c r="A1187" s="24">
        <v>525601225</v>
      </c>
      <c r="B1187" s="22" t="s">
        <v>2446</v>
      </c>
      <c r="C1187" s="122">
        <v>105</v>
      </c>
      <c r="D1187" s="122">
        <v>5600</v>
      </c>
      <c r="E1187" s="122">
        <v>6.5</v>
      </c>
      <c r="F1187" s="122"/>
      <c r="G1187" s="10" t="s">
        <v>2447</v>
      </c>
      <c r="H1187" s="122"/>
      <c r="I1187" s="23" t="s">
        <v>2304</v>
      </c>
      <c r="J1187" s="223"/>
    </row>
    <row r="1188" spans="1:10" s="144" customFormat="1" ht="12.75" x14ac:dyDescent="0.25">
      <c r="A1188" s="24">
        <v>525601208</v>
      </c>
      <c r="B1188" s="22" t="s">
        <v>2448</v>
      </c>
      <c r="C1188" s="10" t="s">
        <v>2449</v>
      </c>
      <c r="D1188" s="10" t="s">
        <v>2450</v>
      </c>
      <c r="E1188" s="10" t="s">
        <v>2451</v>
      </c>
      <c r="F1188" s="122"/>
      <c r="G1188" s="10" t="s">
        <v>2425</v>
      </c>
      <c r="H1188" s="122"/>
      <c r="I1188" s="23" t="s">
        <v>41</v>
      </c>
      <c r="J1188" s="223"/>
    </row>
    <row r="1189" spans="1:10" s="144" customFormat="1" ht="12.75" x14ac:dyDescent="0.25">
      <c r="A1189" s="24">
        <v>525021370</v>
      </c>
      <c r="B1189" s="22" t="s">
        <v>2452</v>
      </c>
      <c r="C1189" s="10" t="s">
        <v>2151</v>
      </c>
      <c r="D1189" s="10" t="s">
        <v>2453</v>
      </c>
      <c r="E1189" s="10" t="s">
        <v>3056</v>
      </c>
      <c r="F1189" s="122"/>
      <c r="G1189" s="10" t="s">
        <v>2311</v>
      </c>
      <c r="H1189" s="122"/>
      <c r="I1189" s="23" t="s">
        <v>249</v>
      </c>
      <c r="J1189" s="223"/>
    </row>
    <row r="1190" spans="1:10" s="144" customFormat="1" ht="12.75" x14ac:dyDescent="0.25">
      <c r="A1190" s="24">
        <v>525024334</v>
      </c>
      <c r="B1190" s="22" t="s">
        <v>3849</v>
      </c>
      <c r="C1190" s="125" t="s">
        <v>621</v>
      </c>
      <c r="D1190" s="125" t="s">
        <v>1212</v>
      </c>
      <c r="E1190" s="10" t="s">
        <v>3850</v>
      </c>
      <c r="F1190" s="125"/>
      <c r="G1190" s="125"/>
      <c r="H1190" s="125"/>
      <c r="I1190" s="126" t="s">
        <v>39</v>
      </c>
      <c r="J1190" s="223"/>
    </row>
    <row r="1191" spans="1:10" s="144" customFormat="1" ht="12.75" x14ac:dyDescent="0.25">
      <c r="A1191" s="24">
        <v>525015887</v>
      </c>
      <c r="B1191" s="22" t="s">
        <v>2454</v>
      </c>
      <c r="C1191" s="10" t="s">
        <v>1686</v>
      </c>
      <c r="D1191" s="10" t="s">
        <v>2455</v>
      </c>
      <c r="E1191" s="10" t="s">
        <v>623</v>
      </c>
      <c r="F1191" s="122"/>
      <c r="G1191" s="10" t="s">
        <v>2456</v>
      </c>
      <c r="H1191" s="122"/>
      <c r="I1191" s="23" t="s">
        <v>245</v>
      </c>
      <c r="J1191" s="223"/>
    </row>
    <row r="1192" spans="1:10" s="144" customFormat="1" ht="12.75" x14ac:dyDescent="0.25">
      <c r="A1192" s="24">
        <v>525400173</v>
      </c>
      <c r="B1192" s="22" t="s">
        <v>2460</v>
      </c>
      <c r="C1192" s="10" t="s">
        <v>2461</v>
      </c>
      <c r="D1192" s="10" t="s">
        <v>2462</v>
      </c>
      <c r="E1192" s="10" t="s">
        <v>2463</v>
      </c>
      <c r="F1192" s="122"/>
      <c r="G1192" s="122"/>
      <c r="H1192" s="122"/>
      <c r="I1192" s="23" t="s">
        <v>41</v>
      </c>
      <c r="J1192" s="223"/>
    </row>
    <row r="1193" spans="1:10" s="144" customFormat="1" ht="12.75" x14ac:dyDescent="0.25">
      <c r="A1193" s="24">
        <v>525201826</v>
      </c>
      <c r="B1193" s="22" t="s">
        <v>2457</v>
      </c>
      <c r="C1193" s="10" t="s">
        <v>2458</v>
      </c>
      <c r="D1193" s="10" t="s">
        <v>2459</v>
      </c>
      <c r="E1193" s="10" t="s">
        <v>1509</v>
      </c>
      <c r="F1193" s="122"/>
      <c r="G1193" s="122"/>
      <c r="H1193" s="122"/>
      <c r="I1193" s="23" t="s">
        <v>39</v>
      </c>
      <c r="J1193" s="223"/>
    </row>
    <row r="1194" spans="1:10" s="144" customFormat="1" ht="12.75" x14ac:dyDescent="0.25">
      <c r="A1194" s="24">
        <v>525020230</v>
      </c>
      <c r="B1194" s="22" t="s">
        <v>2464</v>
      </c>
      <c r="C1194" s="122">
        <v>89.34</v>
      </c>
      <c r="D1194" s="122">
        <v>2091</v>
      </c>
      <c r="E1194" s="122">
        <v>2.6</v>
      </c>
      <c r="F1194" s="122"/>
      <c r="G1194" s="122"/>
      <c r="H1194" s="122"/>
      <c r="I1194" s="23" t="s">
        <v>65</v>
      </c>
      <c r="J1194" s="223"/>
    </row>
    <row r="1195" spans="1:10" s="144" customFormat="1" ht="12.75" x14ac:dyDescent="0.25">
      <c r="A1195" s="24">
        <v>525301668</v>
      </c>
      <c r="B1195" s="22" t="s">
        <v>2465</v>
      </c>
      <c r="C1195" s="10" t="s">
        <v>894</v>
      </c>
      <c r="D1195" s="10" t="s">
        <v>2466</v>
      </c>
      <c r="E1195" s="10" t="s">
        <v>426</v>
      </c>
      <c r="F1195" s="122"/>
      <c r="G1195" s="122"/>
      <c r="H1195" s="122"/>
      <c r="I1195" s="23" t="s">
        <v>39</v>
      </c>
      <c r="J1195" s="223"/>
    </row>
    <row r="1196" spans="1:10" s="144" customFormat="1" ht="12.75" x14ac:dyDescent="0.25">
      <c r="A1196" s="24">
        <v>311000304</v>
      </c>
      <c r="B1196" s="22" t="s">
        <v>2467</v>
      </c>
      <c r="C1196" s="122">
        <v>229</v>
      </c>
      <c r="D1196" s="122">
        <v>43866</v>
      </c>
      <c r="E1196" s="122">
        <v>8.4</v>
      </c>
      <c r="F1196" s="122"/>
      <c r="G1196" s="122"/>
      <c r="H1196" s="122"/>
      <c r="I1196" s="23" t="s">
        <v>516</v>
      </c>
      <c r="J1196" s="223"/>
    </row>
    <row r="1197" spans="1:10" s="144" customFormat="1" ht="12.75" x14ac:dyDescent="0.25">
      <c r="A1197" s="24">
        <v>525500289</v>
      </c>
      <c r="B1197" s="22" t="s">
        <v>2468</v>
      </c>
      <c r="C1197" s="10" t="s">
        <v>991</v>
      </c>
      <c r="D1197" s="10" t="s">
        <v>2469</v>
      </c>
      <c r="E1197" s="10" t="s">
        <v>2152</v>
      </c>
      <c r="F1197" s="122"/>
      <c r="G1197" s="122"/>
      <c r="H1197" s="122"/>
      <c r="I1197" s="23" t="s">
        <v>245</v>
      </c>
      <c r="J1197" s="223"/>
    </row>
    <row r="1198" spans="1:10" s="144" customFormat="1" ht="12.75" x14ac:dyDescent="0.25">
      <c r="A1198" s="24">
        <v>209941000</v>
      </c>
      <c r="B1198" s="22" t="s">
        <v>2470</v>
      </c>
      <c r="C1198" s="116">
        <v>235</v>
      </c>
      <c r="D1198" s="116">
        <v>50647</v>
      </c>
      <c r="E1198" s="10" t="s">
        <v>3040</v>
      </c>
      <c r="F1198" s="122"/>
      <c r="G1198" s="122"/>
      <c r="H1198" s="122"/>
      <c r="I1198" s="23" t="s">
        <v>154</v>
      </c>
      <c r="J1198" s="223"/>
    </row>
    <row r="1199" spans="1:10" s="144" customFormat="1" ht="12.75" x14ac:dyDescent="0.25">
      <c r="A1199" s="24">
        <v>525500264</v>
      </c>
      <c r="B1199" s="22" t="s">
        <v>2471</v>
      </c>
      <c r="C1199" s="7" t="s">
        <v>241</v>
      </c>
      <c r="D1199" s="7" t="s">
        <v>2473</v>
      </c>
      <c r="E1199" s="7" t="s">
        <v>2472</v>
      </c>
      <c r="F1199" s="116"/>
      <c r="G1199" s="116"/>
      <c r="H1199" s="116"/>
      <c r="I1199" s="23" t="s">
        <v>245</v>
      </c>
      <c r="J1199" s="223"/>
    </row>
    <row r="1200" spans="1:10" s="144" customFormat="1" ht="12.75" x14ac:dyDescent="0.25">
      <c r="A1200" s="24">
        <v>525201093</v>
      </c>
      <c r="B1200" s="22" t="s">
        <v>2474</v>
      </c>
      <c r="C1200" s="7">
        <v>136</v>
      </c>
      <c r="D1200" s="7">
        <v>12276</v>
      </c>
      <c r="E1200" s="7">
        <v>12</v>
      </c>
      <c r="F1200" s="116"/>
      <c r="G1200" s="116"/>
      <c r="H1200" s="116"/>
      <c r="I1200" s="23" t="s">
        <v>245</v>
      </c>
      <c r="J1200" s="223"/>
    </row>
    <row r="1201" spans="1:10" s="144" customFormat="1" ht="12.75" x14ac:dyDescent="0.25">
      <c r="A1201" s="7">
        <v>525121064</v>
      </c>
      <c r="B1201" s="18" t="s">
        <v>2475</v>
      </c>
      <c r="C1201" s="7">
        <v>154</v>
      </c>
      <c r="D1201" s="7">
        <v>16804</v>
      </c>
      <c r="E1201" s="7">
        <v>7.3</v>
      </c>
      <c r="F1201" s="7"/>
      <c r="G1201" s="7"/>
      <c r="H1201" s="7"/>
      <c r="I1201" s="7" t="s">
        <v>96</v>
      </c>
      <c r="J1201" s="223"/>
    </row>
    <row r="1202" spans="1:10" s="144" customFormat="1" ht="12.75" x14ac:dyDescent="0.25">
      <c r="A1202" s="17">
        <v>525100582</v>
      </c>
      <c r="B1202" s="127" t="s">
        <v>2476</v>
      </c>
      <c r="C1202" s="125">
        <v>106</v>
      </c>
      <c r="D1202" s="125">
        <v>6913</v>
      </c>
      <c r="E1202" s="125">
        <v>3.8</v>
      </c>
      <c r="F1202" s="128"/>
      <c r="G1202" s="128"/>
      <c r="H1202" s="128"/>
      <c r="I1202" s="129" t="s">
        <v>245</v>
      </c>
      <c r="J1202" s="223"/>
    </row>
    <row r="1203" spans="1:10" s="144" customFormat="1" ht="12.75" x14ac:dyDescent="0.25">
      <c r="A1203" s="17">
        <v>525100040</v>
      </c>
      <c r="B1203" s="127" t="s">
        <v>2477</v>
      </c>
      <c r="C1203" s="125">
        <v>54</v>
      </c>
      <c r="D1203" s="125">
        <v>685</v>
      </c>
      <c r="E1203" s="125">
        <v>4</v>
      </c>
      <c r="F1203" s="128"/>
      <c r="G1203" s="128"/>
      <c r="H1203" s="128"/>
      <c r="I1203" s="129" t="s">
        <v>2398</v>
      </c>
      <c r="J1203" s="223"/>
    </row>
    <row r="1204" spans="1:10" s="144" customFormat="1" ht="12.75" x14ac:dyDescent="0.25">
      <c r="A1204" s="17">
        <v>525101699</v>
      </c>
      <c r="B1204" s="127" t="s">
        <v>2478</v>
      </c>
      <c r="C1204" s="10" t="s">
        <v>2313</v>
      </c>
      <c r="D1204" s="10" t="s">
        <v>2479</v>
      </c>
      <c r="E1204" s="10" t="s">
        <v>214</v>
      </c>
      <c r="F1204" s="128"/>
      <c r="G1204" s="128"/>
      <c r="H1204" s="128"/>
      <c r="I1204" s="129" t="s">
        <v>41</v>
      </c>
      <c r="J1204" s="223"/>
    </row>
    <row r="1205" spans="1:10" s="144" customFormat="1" ht="12.75" x14ac:dyDescent="0.25">
      <c r="A1205" s="17">
        <v>636023384</v>
      </c>
      <c r="B1205" s="127" t="s">
        <v>2480</v>
      </c>
      <c r="C1205" s="125">
        <v>183</v>
      </c>
      <c r="D1205" s="125">
        <v>28858</v>
      </c>
      <c r="E1205" s="125">
        <v>11.3</v>
      </c>
      <c r="F1205" s="128"/>
      <c r="G1205" s="128"/>
      <c r="H1205" s="128"/>
      <c r="I1205" s="129" t="s">
        <v>160</v>
      </c>
      <c r="J1205" s="223"/>
    </row>
    <row r="1206" spans="1:10" s="144" customFormat="1" ht="12.75" x14ac:dyDescent="0.25">
      <c r="A1206" s="17">
        <v>525015388</v>
      </c>
      <c r="B1206" s="127" t="s">
        <v>2481</v>
      </c>
      <c r="C1206" s="125">
        <v>73</v>
      </c>
      <c r="D1206" s="125">
        <v>1578</v>
      </c>
      <c r="E1206" s="10" t="s">
        <v>101</v>
      </c>
      <c r="F1206" s="128"/>
      <c r="G1206" s="128"/>
      <c r="H1206" s="128"/>
      <c r="I1206" s="129" t="s">
        <v>39</v>
      </c>
      <c r="J1206" s="223"/>
    </row>
    <row r="1207" spans="1:10" s="144" customFormat="1" ht="12.75" x14ac:dyDescent="0.25">
      <c r="A1207" s="17">
        <v>352001056</v>
      </c>
      <c r="B1207" s="127" t="s">
        <v>2482</v>
      </c>
      <c r="C1207" s="125">
        <v>225</v>
      </c>
      <c r="D1207" s="125">
        <v>39643</v>
      </c>
      <c r="E1207" s="125">
        <v>13.9</v>
      </c>
      <c r="F1207" s="128"/>
      <c r="G1207" s="128"/>
      <c r="H1207" s="128"/>
      <c r="I1207" s="129" t="s">
        <v>248</v>
      </c>
      <c r="J1207" s="223"/>
    </row>
    <row r="1208" spans="1:10" s="144" customFormat="1" ht="12.75" x14ac:dyDescent="0.25">
      <c r="A1208" s="17">
        <v>525100868</v>
      </c>
      <c r="B1208" s="127" t="s">
        <v>2483</v>
      </c>
      <c r="C1208" s="125" t="s">
        <v>2484</v>
      </c>
      <c r="D1208" s="125" t="s">
        <v>2485</v>
      </c>
      <c r="E1208" s="125" t="s">
        <v>556</v>
      </c>
      <c r="F1208" s="128"/>
      <c r="G1208" s="128"/>
      <c r="H1208" s="128"/>
      <c r="I1208" s="19" t="s">
        <v>1432</v>
      </c>
      <c r="J1208" s="223"/>
    </row>
    <row r="1209" spans="1:10" s="144" customFormat="1" ht="12.75" x14ac:dyDescent="0.25">
      <c r="A1209" s="17">
        <v>538009419</v>
      </c>
      <c r="B1209" s="127" t="s">
        <v>2486</v>
      </c>
      <c r="C1209" s="125">
        <v>177</v>
      </c>
      <c r="D1209" s="125">
        <v>21532</v>
      </c>
      <c r="E1209" s="125">
        <v>6.1</v>
      </c>
      <c r="F1209" s="128"/>
      <c r="G1209" s="128"/>
      <c r="H1209" s="128"/>
      <c r="I1209" s="129" t="s">
        <v>45</v>
      </c>
      <c r="J1209" s="223"/>
    </row>
    <row r="1210" spans="1:10" s="144" customFormat="1" ht="12.75" x14ac:dyDescent="0.25">
      <c r="A1210" s="17">
        <v>525701152</v>
      </c>
      <c r="B1210" s="127" t="s">
        <v>2487</v>
      </c>
      <c r="C1210" s="125" t="s">
        <v>554</v>
      </c>
      <c r="D1210" s="125" t="s">
        <v>2488</v>
      </c>
      <c r="E1210" s="125" t="s">
        <v>1056</v>
      </c>
      <c r="F1210" s="128"/>
      <c r="G1210" s="128"/>
      <c r="H1210" s="128"/>
      <c r="I1210" s="129" t="s">
        <v>245</v>
      </c>
      <c r="J1210" s="223"/>
    </row>
    <row r="1211" spans="1:10" s="144" customFormat="1" ht="12.75" x14ac:dyDescent="0.25">
      <c r="A1211" s="17">
        <v>525501818</v>
      </c>
      <c r="B1211" s="18" t="s">
        <v>2490</v>
      </c>
      <c r="C1211" s="10" t="s">
        <v>2491</v>
      </c>
      <c r="D1211" s="10" t="s">
        <v>2492</v>
      </c>
      <c r="E1211" s="10" t="s">
        <v>1975</v>
      </c>
      <c r="F1211" s="128"/>
      <c r="G1211" s="128"/>
      <c r="H1211" s="128"/>
      <c r="I1211" s="19" t="s">
        <v>46</v>
      </c>
      <c r="J1211" s="223"/>
    </row>
    <row r="1212" spans="1:10" s="144" customFormat="1" ht="12.75" x14ac:dyDescent="0.25">
      <c r="A1212" s="17">
        <v>525600598</v>
      </c>
      <c r="B1212" s="18" t="s">
        <v>2493</v>
      </c>
      <c r="C1212" s="125">
        <v>40</v>
      </c>
      <c r="D1212" s="125">
        <v>281</v>
      </c>
      <c r="E1212" s="125">
        <v>3.2</v>
      </c>
      <c r="F1212" s="128"/>
      <c r="G1212" s="128"/>
      <c r="H1212" s="128"/>
      <c r="I1212" s="19" t="s">
        <v>183</v>
      </c>
      <c r="J1212" s="223"/>
    </row>
    <row r="1213" spans="1:10" s="144" customFormat="1" ht="12.75" x14ac:dyDescent="0.25">
      <c r="A1213" s="17">
        <v>525005296</v>
      </c>
      <c r="B1213" s="22" t="s">
        <v>2494</v>
      </c>
      <c r="C1213" s="10" t="s">
        <v>2495</v>
      </c>
      <c r="D1213" s="10" t="s">
        <v>2496</v>
      </c>
      <c r="E1213" s="30" t="s">
        <v>2244</v>
      </c>
      <c r="F1213" s="128"/>
      <c r="G1213" s="128"/>
      <c r="H1213" s="128"/>
      <c r="I1213" s="19" t="s">
        <v>39</v>
      </c>
      <c r="J1213" s="223"/>
    </row>
    <row r="1214" spans="1:10" s="144" customFormat="1" ht="12.75" x14ac:dyDescent="0.25">
      <c r="A1214" s="17">
        <v>525022384</v>
      </c>
      <c r="B1214" s="127" t="s">
        <v>2500</v>
      </c>
      <c r="C1214" s="7">
        <v>76</v>
      </c>
      <c r="D1214" s="7">
        <v>1261</v>
      </c>
      <c r="E1214" s="7">
        <v>4.2</v>
      </c>
      <c r="F1214" s="128"/>
      <c r="G1214" s="128"/>
      <c r="H1214" s="128"/>
      <c r="I1214" s="19" t="s">
        <v>1595</v>
      </c>
      <c r="J1214" s="223"/>
    </row>
    <row r="1215" spans="1:10" s="144" customFormat="1" ht="12.75" x14ac:dyDescent="0.25">
      <c r="A1215" s="7">
        <v>636019200</v>
      </c>
      <c r="B1215" s="18" t="s">
        <v>2501</v>
      </c>
      <c r="C1215" s="125">
        <v>147</v>
      </c>
      <c r="D1215" s="125">
        <v>11918</v>
      </c>
      <c r="E1215" s="10" t="s">
        <v>131</v>
      </c>
      <c r="F1215" s="128"/>
      <c r="G1215" s="128"/>
      <c r="H1215" s="128"/>
      <c r="I1215" s="19" t="s">
        <v>1895</v>
      </c>
      <c r="J1215" s="223"/>
    </row>
    <row r="1216" spans="1:10" s="144" customFormat="1" ht="12.75" x14ac:dyDescent="0.25">
      <c r="A1216" s="17">
        <v>525300640</v>
      </c>
      <c r="B1216" s="18" t="s">
        <v>2502</v>
      </c>
      <c r="C1216" s="10" t="s">
        <v>615</v>
      </c>
      <c r="D1216" s="10" t="s">
        <v>2503</v>
      </c>
      <c r="E1216" s="10" t="s">
        <v>2504</v>
      </c>
      <c r="F1216" s="128"/>
      <c r="G1216" s="128"/>
      <c r="H1216" s="128"/>
      <c r="I1216" s="19" t="s">
        <v>1663</v>
      </c>
      <c r="J1216" s="223"/>
    </row>
    <row r="1217" spans="1:10" s="144" customFormat="1" ht="12.75" x14ac:dyDescent="0.25">
      <c r="A1217" s="17">
        <v>477708200</v>
      </c>
      <c r="B1217" s="18" t="s">
        <v>2505</v>
      </c>
      <c r="C1217" s="125">
        <v>200</v>
      </c>
      <c r="D1217" s="125">
        <v>34736</v>
      </c>
      <c r="E1217" s="125">
        <v>6.6</v>
      </c>
      <c r="F1217" s="128"/>
      <c r="G1217" s="128"/>
      <c r="H1217" s="128"/>
      <c r="I1217" s="19" t="s">
        <v>150</v>
      </c>
      <c r="J1217" s="223"/>
    </row>
    <row r="1218" spans="1:10" s="144" customFormat="1" ht="12.75" x14ac:dyDescent="0.25">
      <c r="A1218" s="17">
        <v>525117009</v>
      </c>
      <c r="B1218" s="18" t="s">
        <v>2506</v>
      </c>
      <c r="C1218" s="10" t="s">
        <v>2507</v>
      </c>
      <c r="D1218" s="10" t="s">
        <v>2508</v>
      </c>
      <c r="E1218" s="10" t="s">
        <v>2509</v>
      </c>
      <c r="F1218" s="128"/>
      <c r="G1218" s="128"/>
      <c r="H1218" s="128"/>
      <c r="I1218" s="19" t="s">
        <v>46</v>
      </c>
      <c r="J1218" s="223"/>
    </row>
    <row r="1219" spans="1:10" s="144" customFormat="1" ht="12.75" x14ac:dyDescent="0.25">
      <c r="A1219" s="17">
        <v>525023080</v>
      </c>
      <c r="B1219" s="18" t="s">
        <v>2510</v>
      </c>
      <c r="C1219" s="125">
        <v>61</v>
      </c>
      <c r="D1219" s="125">
        <v>776</v>
      </c>
      <c r="E1219" s="125">
        <v>2.6</v>
      </c>
      <c r="F1219" s="128"/>
      <c r="G1219" s="128"/>
      <c r="H1219" s="128"/>
      <c r="I1219" s="19" t="s">
        <v>153</v>
      </c>
      <c r="J1219" s="223"/>
    </row>
    <row r="1220" spans="1:10" s="144" customFormat="1" ht="12.75" x14ac:dyDescent="0.25">
      <c r="A1220" s="17">
        <v>525007046</v>
      </c>
      <c r="B1220" s="18" t="s">
        <v>2511</v>
      </c>
      <c r="C1220" s="10" t="s">
        <v>434</v>
      </c>
      <c r="D1220" s="10" t="s">
        <v>2512</v>
      </c>
      <c r="E1220" s="10" t="s">
        <v>2513</v>
      </c>
      <c r="F1220" s="128"/>
      <c r="G1220" s="128"/>
      <c r="H1220" s="128"/>
      <c r="I1220" s="19" t="s">
        <v>2256</v>
      </c>
      <c r="J1220" s="223"/>
    </row>
    <row r="1221" spans="1:10" s="144" customFormat="1" ht="12.75" x14ac:dyDescent="0.25">
      <c r="A1221" s="21">
        <v>525112010</v>
      </c>
      <c r="B1221" s="130" t="s">
        <v>2514</v>
      </c>
      <c r="C1221" s="10" t="s">
        <v>1626</v>
      </c>
      <c r="D1221" s="131" t="s">
        <v>2515</v>
      </c>
      <c r="E1221" s="10" t="s">
        <v>3131</v>
      </c>
      <c r="F1221" s="131"/>
      <c r="G1221" s="131"/>
      <c r="H1221" s="131"/>
      <c r="I1221" s="132" t="s">
        <v>249</v>
      </c>
      <c r="J1221" s="223"/>
    </row>
    <row r="1222" spans="1:10" s="144" customFormat="1" ht="12.75" x14ac:dyDescent="0.25">
      <c r="A1222" s="17">
        <v>525401214</v>
      </c>
      <c r="B1222" s="18" t="s">
        <v>2516</v>
      </c>
      <c r="C1222" s="10" t="s">
        <v>2129</v>
      </c>
      <c r="D1222" s="10" t="s">
        <v>2517</v>
      </c>
      <c r="E1222" s="10" t="s">
        <v>660</v>
      </c>
      <c r="F1222" s="128"/>
      <c r="G1222" s="128"/>
      <c r="H1222" s="128"/>
      <c r="I1222" s="19" t="s">
        <v>39</v>
      </c>
      <c r="J1222" s="223"/>
    </row>
    <row r="1223" spans="1:10" s="144" customFormat="1" ht="12.75" x14ac:dyDescent="0.25">
      <c r="A1223" s="17">
        <v>525601967</v>
      </c>
      <c r="B1223" s="18" t="s">
        <v>2518</v>
      </c>
      <c r="C1223" s="125">
        <v>98</v>
      </c>
      <c r="D1223" s="125">
        <v>2983</v>
      </c>
      <c r="E1223" s="125">
        <v>3.7</v>
      </c>
      <c r="F1223" s="128"/>
      <c r="G1223" s="128"/>
      <c r="H1223" s="128"/>
      <c r="I1223" s="19" t="s">
        <v>516</v>
      </c>
      <c r="J1223" s="223"/>
    </row>
    <row r="1224" spans="1:10" s="144" customFormat="1" ht="12.75" x14ac:dyDescent="0.25">
      <c r="A1224" s="17">
        <v>371811000</v>
      </c>
      <c r="B1224" s="18" t="s">
        <v>2519</v>
      </c>
      <c r="C1224" s="125">
        <v>229</v>
      </c>
      <c r="D1224" s="125">
        <v>43044</v>
      </c>
      <c r="E1224" s="125">
        <v>13.5</v>
      </c>
      <c r="F1224" s="128"/>
      <c r="G1224" s="128"/>
      <c r="H1224" s="128"/>
      <c r="I1224" s="19" t="s">
        <v>154</v>
      </c>
      <c r="J1224" s="223"/>
    </row>
    <row r="1225" spans="1:10" s="144" customFormat="1" ht="12.75" x14ac:dyDescent="0.25">
      <c r="A1225" s="17">
        <v>525007198</v>
      </c>
      <c r="B1225" s="18" t="s">
        <v>2520</v>
      </c>
      <c r="C1225" s="10" t="s">
        <v>615</v>
      </c>
      <c r="D1225" s="10" t="s">
        <v>2521</v>
      </c>
      <c r="E1225" s="40" t="s">
        <v>2523</v>
      </c>
      <c r="F1225" s="128"/>
      <c r="G1225" s="128"/>
      <c r="H1225" s="128"/>
      <c r="I1225" s="19" t="s">
        <v>150</v>
      </c>
      <c r="J1225" s="223"/>
    </row>
    <row r="1226" spans="1:10" s="144" customFormat="1" ht="12.75" x14ac:dyDescent="0.25">
      <c r="A1226" s="17">
        <v>311001527</v>
      </c>
      <c r="B1226" s="18" t="s">
        <v>2522</v>
      </c>
      <c r="C1226" s="125">
        <v>175</v>
      </c>
      <c r="D1226" s="125">
        <v>25063</v>
      </c>
      <c r="E1226" s="125">
        <v>11.2</v>
      </c>
      <c r="F1226" s="128"/>
      <c r="G1226" s="128"/>
      <c r="H1226" s="128"/>
      <c r="I1226" s="19" t="s">
        <v>160</v>
      </c>
      <c r="J1226" s="223"/>
    </row>
    <row r="1227" spans="1:10" s="144" customFormat="1" ht="12.75" x14ac:dyDescent="0.25">
      <c r="A1227" s="17">
        <v>563214900</v>
      </c>
      <c r="B1227" s="127" t="s">
        <v>2524</v>
      </c>
      <c r="C1227" s="125">
        <v>144</v>
      </c>
      <c r="D1227" s="125">
        <v>11254</v>
      </c>
      <c r="E1227" s="125">
        <v>8.8000000000000007</v>
      </c>
      <c r="F1227" s="128"/>
      <c r="G1227" s="128"/>
      <c r="H1227" s="128"/>
      <c r="I1227" s="19" t="s">
        <v>160</v>
      </c>
      <c r="J1227" s="223"/>
    </row>
    <row r="1228" spans="1:10" s="144" customFormat="1" ht="12.75" x14ac:dyDescent="0.25">
      <c r="A1228" s="17">
        <v>525500108</v>
      </c>
      <c r="B1228" s="18" t="s">
        <v>2525</v>
      </c>
      <c r="C1228" s="125">
        <v>151</v>
      </c>
      <c r="D1228" s="125">
        <v>14446</v>
      </c>
      <c r="E1228" s="10" t="s">
        <v>1780</v>
      </c>
      <c r="F1228" s="128"/>
      <c r="G1228" s="128"/>
      <c r="H1228" s="128"/>
      <c r="I1228" s="19" t="s">
        <v>1432</v>
      </c>
      <c r="J1228" s="223"/>
    </row>
    <row r="1229" spans="1:10" s="144" customFormat="1" ht="12.75" x14ac:dyDescent="0.25">
      <c r="A1229" s="17">
        <v>525018106</v>
      </c>
      <c r="B1229" s="18" t="s">
        <v>2526</v>
      </c>
      <c r="C1229" s="125">
        <v>42</v>
      </c>
      <c r="D1229" s="125">
        <v>247</v>
      </c>
      <c r="E1229" s="125">
        <v>2</v>
      </c>
      <c r="F1229" s="128"/>
      <c r="G1229" s="128"/>
      <c r="H1229" s="128"/>
      <c r="I1229" s="19" t="s">
        <v>2774</v>
      </c>
      <c r="J1229" s="223"/>
    </row>
    <row r="1230" spans="1:10" s="144" customFormat="1" ht="12.75" x14ac:dyDescent="0.25">
      <c r="A1230" s="17">
        <v>210147000</v>
      </c>
      <c r="B1230" s="18" t="s">
        <v>2527</v>
      </c>
      <c r="C1230" s="125">
        <v>186</v>
      </c>
      <c r="D1230" s="125">
        <v>29884</v>
      </c>
      <c r="E1230" s="125">
        <v>7.9</v>
      </c>
      <c r="F1230" s="128"/>
      <c r="G1230" s="128"/>
      <c r="H1230" s="128"/>
      <c r="I1230" s="19" t="s">
        <v>160</v>
      </c>
      <c r="J1230" s="223"/>
    </row>
    <row r="1231" spans="1:10" s="144" customFormat="1" ht="12.75" x14ac:dyDescent="0.25">
      <c r="A1231" s="17">
        <v>525003652</v>
      </c>
      <c r="B1231" s="18" t="s">
        <v>3194</v>
      </c>
      <c r="C1231" s="10" t="s">
        <v>796</v>
      </c>
      <c r="D1231" s="10" t="s">
        <v>2528</v>
      </c>
      <c r="E1231" s="40" t="s">
        <v>3195</v>
      </c>
      <c r="F1231" s="128"/>
      <c r="G1231" s="128"/>
      <c r="H1231" s="128"/>
      <c r="I1231" s="19" t="s">
        <v>160</v>
      </c>
      <c r="J1231" s="223"/>
    </row>
    <row r="1232" spans="1:10" s="144" customFormat="1" ht="12.75" x14ac:dyDescent="0.25">
      <c r="A1232" s="17">
        <v>525401674</v>
      </c>
      <c r="B1232" s="18" t="s">
        <v>3636</v>
      </c>
      <c r="C1232" s="10" t="s">
        <v>3637</v>
      </c>
      <c r="D1232" s="10" t="s">
        <v>3638</v>
      </c>
      <c r="E1232" s="10" t="s">
        <v>3639</v>
      </c>
      <c r="F1232" s="128"/>
      <c r="G1232" s="128"/>
      <c r="H1232" s="128"/>
      <c r="I1232" s="19" t="s">
        <v>39</v>
      </c>
      <c r="J1232" s="223"/>
    </row>
    <row r="1233" spans="1:10" s="144" customFormat="1" ht="12.75" x14ac:dyDescent="0.25">
      <c r="A1233" s="17">
        <v>525006068</v>
      </c>
      <c r="B1233" s="18" t="s">
        <v>2531</v>
      </c>
      <c r="C1233" s="7" t="s">
        <v>2532</v>
      </c>
      <c r="D1233" s="7" t="s">
        <v>2533</v>
      </c>
      <c r="E1233" s="7" t="s">
        <v>2534</v>
      </c>
      <c r="F1233" s="128"/>
      <c r="G1233" s="128"/>
      <c r="H1233" s="128"/>
      <c r="I1233" s="19" t="s">
        <v>1976</v>
      </c>
      <c r="J1233" s="223"/>
    </row>
    <row r="1234" spans="1:10" s="144" customFormat="1" ht="12.75" x14ac:dyDescent="0.25">
      <c r="A1234" s="17">
        <v>567572000</v>
      </c>
      <c r="B1234" s="127" t="s">
        <v>2535</v>
      </c>
      <c r="C1234" s="7">
        <v>89</v>
      </c>
      <c r="D1234" s="83">
        <v>2562</v>
      </c>
      <c r="E1234" s="7">
        <v>6.4</v>
      </c>
      <c r="F1234" s="128"/>
      <c r="G1234" s="128"/>
      <c r="H1234" s="128"/>
      <c r="I1234" s="19" t="s">
        <v>160</v>
      </c>
      <c r="J1234" s="223"/>
    </row>
    <row r="1235" spans="1:10" s="144" customFormat="1" ht="12.75" x14ac:dyDescent="0.25">
      <c r="A1235" s="21">
        <v>574430000</v>
      </c>
      <c r="B1235" s="22" t="s">
        <v>2536</v>
      </c>
      <c r="C1235" s="10">
        <v>80</v>
      </c>
      <c r="D1235" s="10">
        <v>1642</v>
      </c>
      <c r="E1235" s="10">
        <v>3.1</v>
      </c>
      <c r="F1235" s="128"/>
      <c r="G1235" s="128"/>
      <c r="H1235" s="128"/>
      <c r="I1235" s="19" t="s">
        <v>1895</v>
      </c>
      <c r="J1235" s="223"/>
    </row>
    <row r="1236" spans="1:10" s="144" customFormat="1" ht="12.75" x14ac:dyDescent="0.25">
      <c r="A1236" s="17">
        <v>525300117</v>
      </c>
      <c r="B1236" s="22" t="s">
        <v>2537</v>
      </c>
      <c r="C1236" s="10" t="s">
        <v>3491</v>
      </c>
      <c r="D1236" s="10" t="s">
        <v>2538</v>
      </c>
      <c r="E1236" s="10" t="s">
        <v>3492</v>
      </c>
      <c r="F1236" s="10"/>
      <c r="G1236" s="10"/>
      <c r="H1236" s="10"/>
      <c r="I1236" s="23" t="s">
        <v>92</v>
      </c>
      <c r="J1236" s="223"/>
    </row>
    <row r="1237" spans="1:10" s="144" customFormat="1" ht="12.75" x14ac:dyDescent="0.25">
      <c r="A1237" s="17">
        <v>525003200</v>
      </c>
      <c r="B1237" s="18" t="s">
        <v>2539</v>
      </c>
      <c r="C1237" s="125">
        <v>100</v>
      </c>
      <c r="D1237" s="125">
        <v>6175</v>
      </c>
      <c r="E1237" s="125">
        <v>6.5</v>
      </c>
      <c r="F1237" s="128"/>
      <c r="G1237" s="128"/>
      <c r="H1237" s="128"/>
      <c r="I1237" s="19" t="s">
        <v>353</v>
      </c>
      <c r="J1237" s="223"/>
    </row>
    <row r="1238" spans="1:10" s="144" customFormat="1" ht="12.75" x14ac:dyDescent="0.25">
      <c r="A1238" s="17">
        <v>413358160</v>
      </c>
      <c r="B1238" s="130" t="s">
        <v>2541</v>
      </c>
      <c r="C1238" s="131">
        <v>190</v>
      </c>
      <c r="D1238" s="131">
        <v>32899</v>
      </c>
      <c r="E1238" s="131">
        <v>12.8</v>
      </c>
      <c r="F1238" s="128"/>
      <c r="G1238" s="128"/>
      <c r="H1238" s="128"/>
      <c r="I1238" s="19" t="s">
        <v>273</v>
      </c>
      <c r="J1238" s="223"/>
    </row>
    <row r="1239" spans="1:10" s="144" customFormat="1" ht="12.75" x14ac:dyDescent="0.25">
      <c r="A1239" s="17">
        <v>525600414</v>
      </c>
      <c r="B1239" s="18" t="s">
        <v>2540</v>
      </c>
      <c r="C1239" s="125">
        <v>28</v>
      </c>
      <c r="D1239" s="125">
        <v>259</v>
      </c>
      <c r="E1239" s="125">
        <v>4</v>
      </c>
      <c r="F1239" s="128"/>
      <c r="G1239" s="128"/>
      <c r="H1239" s="128"/>
      <c r="I1239" s="19" t="s">
        <v>2542</v>
      </c>
      <c r="J1239" s="223"/>
    </row>
    <row r="1240" spans="1:10" s="144" customFormat="1" ht="12.75" x14ac:dyDescent="0.25">
      <c r="A1240" s="17">
        <v>525300542</v>
      </c>
      <c r="B1240" s="18" t="s">
        <v>2543</v>
      </c>
      <c r="C1240" s="10" t="s">
        <v>2544</v>
      </c>
      <c r="D1240" s="10" t="s">
        <v>2092</v>
      </c>
      <c r="E1240" s="10" t="s">
        <v>2545</v>
      </c>
      <c r="F1240" s="128"/>
      <c r="G1240" s="128"/>
      <c r="H1240" s="128"/>
      <c r="I1240" s="19" t="s">
        <v>249</v>
      </c>
      <c r="J1240" s="223"/>
    </row>
    <row r="1241" spans="1:10" s="144" customFormat="1" ht="12.75" x14ac:dyDescent="0.25">
      <c r="A1241" s="17">
        <v>565181000</v>
      </c>
      <c r="B1241" s="18" t="s">
        <v>2546</v>
      </c>
      <c r="C1241" s="10" t="s">
        <v>2547</v>
      </c>
      <c r="D1241" s="10" t="s">
        <v>2548</v>
      </c>
      <c r="E1241" s="10" t="s">
        <v>2549</v>
      </c>
      <c r="F1241" s="128"/>
      <c r="G1241" s="128"/>
      <c r="H1241" s="128"/>
      <c r="I1241" s="19" t="s">
        <v>43</v>
      </c>
      <c r="J1241" s="223"/>
    </row>
    <row r="1242" spans="1:10" s="144" customFormat="1" ht="12.75" x14ac:dyDescent="0.25">
      <c r="A1242" s="17">
        <v>525018163</v>
      </c>
      <c r="B1242" s="18" t="s">
        <v>2550</v>
      </c>
      <c r="C1242" s="10" t="s">
        <v>2551</v>
      </c>
      <c r="D1242" s="10" t="s">
        <v>2552</v>
      </c>
      <c r="E1242" s="10" t="s">
        <v>2553</v>
      </c>
      <c r="F1242" s="128"/>
      <c r="G1242" s="128"/>
      <c r="H1242" s="128"/>
      <c r="I1242" s="19" t="s">
        <v>353</v>
      </c>
      <c r="J1242" s="223"/>
    </row>
    <row r="1243" spans="1:10" s="144" customFormat="1" ht="12.75" x14ac:dyDescent="0.25">
      <c r="A1243" s="17">
        <v>414931000</v>
      </c>
      <c r="B1243" s="18" t="s">
        <v>2554</v>
      </c>
      <c r="C1243" s="125">
        <v>260</v>
      </c>
      <c r="D1243" s="125">
        <v>42112</v>
      </c>
      <c r="E1243" s="125">
        <v>9.3000000000000007</v>
      </c>
      <c r="F1243" s="128"/>
      <c r="G1243" s="128"/>
      <c r="H1243" s="128"/>
      <c r="I1243" s="19" t="s">
        <v>71</v>
      </c>
      <c r="J1243" s="223"/>
    </row>
    <row r="1244" spans="1:10" s="144" customFormat="1" ht="12.75" x14ac:dyDescent="0.25">
      <c r="A1244" s="17">
        <v>525113020</v>
      </c>
      <c r="B1244" s="18" t="s">
        <v>2555</v>
      </c>
      <c r="C1244" s="125">
        <v>190</v>
      </c>
      <c r="D1244" s="125">
        <v>28615</v>
      </c>
      <c r="E1244" s="125">
        <v>6.9</v>
      </c>
      <c r="F1244" s="128"/>
      <c r="G1244" s="128"/>
      <c r="H1244" s="128"/>
      <c r="I1244" s="19" t="s">
        <v>249</v>
      </c>
      <c r="J1244" s="223"/>
    </row>
    <row r="1245" spans="1:10" s="144" customFormat="1" ht="12.75" x14ac:dyDescent="0.25">
      <c r="A1245" s="21">
        <v>636014992</v>
      </c>
      <c r="B1245" s="130" t="s">
        <v>2556</v>
      </c>
      <c r="C1245" s="131">
        <v>292</v>
      </c>
      <c r="D1245" s="131">
        <v>91374</v>
      </c>
      <c r="E1245" s="131">
        <v>11.5</v>
      </c>
      <c r="F1245" s="128"/>
      <c r="G1245" s="128"/>
      <c r="H1245" s="128"/>
      <c r="I1245" s="19" t="s">
        <v>273</v>
      </c>
      <c r="J1245" s="223"/>
    </row>
    <row r="1246" spans="1:10" s="144" customFormat="1" ht="12.75" x14ac:dyDescent="0.25">
      <c r="A1246" s="17">
        <v>525501754</v>
      </c>
      <c r="B1246" s="18" t="s">
        <v>2557</v>
      </c>
      <c r="C1246" s="125">
        <v>190</v>
      </c>
      <c r="D1246" s="125">
        <v>33302</v>
      </c>
      <c r="E1246" s="125">
        <v>6.6</v>
      </c>
      <c r="F1246" s="128"/>
      <c r="G1246" s="128"/>
      <c r="H1246" s="128"/>
      <c r="I1246" s="19" t="s">
        <v>2558</v>
      </c>
      <c r="J1246" s="223"/>
    </row>
    <row r="1247" spans="1:10" s="144" customFormat="1" ht="12.75" x14ac:dyDescent="0.25">
      <c r="A1247" s="17">
        <v>235102349</v>
      </c>
      <c r="B1247" s="18" t="s">
        <v>2559</v>
      </c>
      <c r="C1247" s="125">
        <v>212</v>
      </c>
      <c r="D1247" s="125">
        <v>38910</v>
      </c>
      <c r="E1247" s="125">
        <v>10</v>
      </c>
      <c r="F1247" s="128"/>
      <c r="G1247" s="128"/>
      <c r="H1247" s="128"/>
      <c r="I1247" s="19" t="s">
        <v>714</v>
      </c>
      <c r="J1247" s="223"/>
    </row>
    <row r="1248" spans="1:10" s="144" customFormat="1" ht="12.75" x14ac:dyDescent="0.25">
      <c r="A1248" s="17">
        <v>538008843</v>
      </c>
      <c r="B1248" s="18" t="s">
        <v>2560</v>
      </c>
      <c r="C1248" s="125">
        <v>197</v>
      </c>
      <c r="D1248" s="125">
        <v>30639</v>
      </c>
      <c r="E1248" s="125">
        <v>9.1999999999999993</v>
      </c>
      <c r="F1248" s="128"/>
      <c r="G1248" s="128"/>
      <c r="H1248" s="128"/>
      <c r="I1248" s="19" t="s">
        <v>2096</v>
      </c>
      <c r="J1248" s="223"/>
    </row>
    <row r="1249" spans="1:10" s="144" customFormat="1" ht="12.75" x14ac:dyDescent="0.25">
      <c r="A1249" s="17">
        <v>525100899</v>
      </c>
      <c r="B1249" s="127" t="s">
        <v>2561</v>
      </c>
      <c r="C1249" s="7">
        <v>54</v>
      </c>
      <c r="D1249" s="7">
        <v>499</v>
      </c>
      <c r="E1249" s="7">
        <v>4</v>
      </c>
      <c r="F1249" s="128"/>
      <c r="G1249" s="128"/>
      <c r="H1249" s="128"/>
      <c r="I1249" s="19" t="s">
        <v>39</v>
      </c>
      <c r="J1249" s="223"/>
    </row>
    <row r="1250" spans="1:10" s="144" customFormat="1" ht="12.75" x14ac:dyDescent="0.25">
      <c r="A1250" s="17">
        <v>352001922</v>
      </c>
      <c r="B1250" s="18" t="s">
        <v>2562</v>
      </c>
      <c r="C1250" s="125">
        <v>180</v>
      </c>
      <c r="D1250" s="125">
        <v>22467</v>
      </c>
      <c r="E1250" s="125">
        <v>7.5</v>
      </c>
      <c r="F1250" s="128"/>
      <c r="G1250" s="128"/>
      <c r="H1250" s="128"/>
      <c r="I1250" s="19" t="s">
        <v>1895</v>
      </c>
      <c r="J1250" s="223"/>
    </row>
    <row r="1251" spans="1:10" s="144" customFormat="1" ht="12.75" x14ac:dyDescent="0.25">
      <c r="A1251" s="17">
        <v>311407000</v>
      </c>
      <c r="B1251" s="18" t="s">
        <v>2563</v>
      </c>
      <c r="C1251" s="125">
        <v>225</v>
      </c>
      <c r="D1251" s="125">
        <v>39035</v>
      </c>
      <c r="E1251" s="125">
        <v>7.9</v>
      </c>
      <c r="F1251" s="128"/>
      <c r="G1251" s="128"/>
      <c r="H1251" s="128"/>
      <c r="I1251" s="19" t="s">
        <v>1534</v>
      </c>
      <c r="J1251" s="223"/>
    </row>
    <row r="1252" spans="1:10" s="144" customFormat="1" ht="12.75" x14ac:dyDescent="0.25">
      <c r="A1252" s="17">
        <v>357110000</v>
      </c>
      <c r="B1252" s="18" t="s">
        <v>2565</v>
      </c>
      <c r="C1252" s="125">
        <v>235</v>
      </c>
      <c r="D1252" s="125">
        <v>50626</v>
      </c>
      <c r="E1252" s="125">
        <v>8.6999999999999993</v>
      </c>
      <c r="F1252" s="128"/>
      <c r="G1252" s="128"/>
      <c r="H1252" s="128"/>
      <c r="I1252" s="19" t="s">
        <v>154</v>
      </c>
      <c r="J1252" s="223"/>
    </row>
    <row r="1253" spans="1:10" s="144" customFormat="1" ht="12.75" x14ac:dyDescent="0.25">
      <c r="A1253" s="17">
        <v>525501412</v>
      </c>
      <c r="B1253" s="18" t="s">
        <v>2570</v>
      </c>
      <c r="C1253" s="10" t="s">
        <v>2567</v>
      </c>
      <c r="D1253" s="10" t="s">
        <v>2568</v>
      </c>
      <c r="E1253" s="10" t="s">
        <v>2569</v>
      </c>
      <c r="F1253" s="128"/>
      <c r="G1253" s="128"/>
      <c r="H1253" s="128"/>
      <c r="I1253" s="19" t="s">
        <v>92</v>
      </c>
      <c r="J1253" s="223"/>
    </row>
    <row r="1254" spans="1:10" s="144" customFormat="1" ht="12.75" x14ac:dyDescent="0.25">
      <c r="A1254" s="7">
        <v>525018296</v>
      </c>
      <c r="B1254" s="18" t="s">
        <v>2571</v>
      </c>
      <c r="C1254" s="10" t="s">
        <v>2572</v>
      </c>
      <c r="D1254" s="10" t="s">
        <v>2573</v>
      </c>
      <c r="E1254" s="10" t="s">
        <v>2574</v>
      </c>
      <c r="F1254" s="128"/>
      <c r="G1254" s="128"/>
      <c r="H1254" s="128"/>
      <c r="I1254" s="19" t="s">
        <v>2096</v>
      </c>
      <c r="J1254" s="223"/>
    </row>
    <row r="1255" spans="1:10" s="144" customFormat="1" ht="12.75" x14ac:dyDescent="0.25">
      <c r="A1255" s="21">
        <v>417222405</v>
      </c>
      <c r="B1255" s="22" t="s">
        <v>2575</v>
      </c>
      <c r="C1255" s="125">
        <v>199</v>
      </c>
      <c r="D1255" s="125">
        <v>36432</v>
      </c>
      <c r="E1255" s="10" t="s">
        <v>1874</v>
      </c>
      <c r="F1255" s="125"/>
      <c r="G1255" s="125"/>
      <c r="H1255" s="125"/>
      <c r="I1255" s="23" t="s">
        <v>248</v>
      </c>
      <c r="J1255" s="223"/>
    </row>
    <row r="1256" spans="1:10" s="144" customFormat="1" ht="12.75" x14ac:dyDescent="0.25">
      <c r="A1256" s="17">
        <v>525121046</v>
      </c>
      <c r="B1256" s="18" t="s">
        <v>2576</v>
      </c>
      <c r="C1256" s="125">
        <v>189</v>
      </c>
      <c r="D1256" s="125">
        <v>29000</v>
      </c>
      <c r="E1256" s="125">
        <v>6.4</v>
      </c>
      <c r="F1256" s="128"/>
      <c r="G1256" s="128"/>
      <c r="H1256" s="128"/>
      <c r="I1256" s="19" t="s">
        <v>249</v>
      </c>
      <c r="J1256" s="223"/>
    </row>
    <row r="1257" spans="1:10" s="144" customFormat="1" ht="12.75" x14ac:dyDescent="0.25">
      <c r="A1257" s="17">
        <v>525005075</v>
      </c>
      <c r="B1257" s="18" t="s">
        <v>2577</v>
      </c>
      <c r="C1257" s="10" t="s">
        <v>2484</v>
      </c>
      <c r="D1257" s="10" t="s">
        <v>2578</v>
      </c>
      <c r="E1257" s="10" t="s">
        <v>2579</v>
      </c>
      <c r="F1257" s="128"/>
      <c r="G1257" s="128"/>
      <c r="H1257" s="128"/>
      <c r="I1257" s="19" t="s">
        <v>1432</v>
      </c>
      <c r="J1257" s="223"/>
    </row>
    <row r="1258" spans="1:10" s="144" customFormat="1" ht="12.75" x14ac:dyDescent="0.25">
      <c r="A1258" s="17">
        <v>525010036</v>
      </c>
      <c r="B1258" s="18" t="s">
        <v>2580</v>
      </c>
      <c r="C1258" s="10" t="s">
        <v>2497</v>
      </c>
      <c r="D1258" s="10" t="s">
        <v>2581</v>
      </c>
      <c r="E1258" s="10" t="s">
        <v>2170</v>
      </c>
      <c r="F1258" s="128"/>
      <c r="G1258" s="128"/>
      <c r="H1258" s="128"/>
      <c r="I1258" s="19" t="s">
        <v>1895</v>
      </c>
      <c r="J1258" s="223"/>
    </row>
    <row r="1259" spans="1:10" s="144" customFormat="1" ht="12.75" x14ac:dyDescent="0.25">
      <c r="A1259" s="17">
        <v>574003320</v>
      </c>
      <c r="B1259" s="18" t="s">
        <v>2582</v>
      </c>
      <c r="C1259" s="125">
        <v>91</v>
      </c>
      <c r="D1259" s="125">
        <v>2752</v>
      </c>
      <c r="E1259" s="125">
        <v>6</v>
      </c>
      <c r="F1259" s="128"/>
      <c r="G1259" s="128"/>
      <c r="H1259" s="128"/>
      <c r="I1259" s="19" t="s">
        <v>160</v>
      </c>
      <c r="J1259" s="223"/>
    </row>
    <row r="1260" spans="1:10" s="144" customFormat="1" ht="12.75" x14ac:dyDescent="0.25">
      <c r="A1260" s="66">
        <v>525020346</v>
      </c>
      <c r="B1260" s="18" t="s">
        <v>2583</v>
      </c>
      <c r="C1260" s="7">
        <v>65</v>
      </c>
      <c r="D1260" s="7">
        <v>727</v>
      </c>
      <c r="E1260" s="7">
        <v>2.4</v>
      </c>
      <c r="F1260" s="7"/>
      <c r="G1260" s="7"/>
      <c r="H1260" s="7"/>
      <c r="I1260" s="19" t="s">
        <v>260</v>
      </c>
      <c r="J1260" s="223"/>
    </row>
    <row r="1261" spans="1:10" s="144" customFormat="1" ht="12.75" x14ac:dyDescent="0.25">
      <c r="A1261" s="17">
        <v>249183000</v>
      </c>
      <c r="B1261" s="18" t="s">
        <v>2584</v>
      </c>
      <c r="C1261" s="125">
        <v>190</v>
      </c>
      <c r="D1261" s="125">
        <v>32964</v>
      </c>
      <c r="E1261" s="10" t="s">
        <v>1638</v>
      </c>
      <c r="F1261" s="128"/>
      <c r="G1261" s="128"/>
      <c r="H1261" s="128"/>
      <c r="I1261" s="19" t="s">
        <v>262</v>
      </c>
      <c r="J1261" s="223"/>
    </row>
    <row r="1262" spans="1:10" s="144" customFormat="1" ht="12.75" x14ac:dyDescent="0.25">
      <c r="A1262" s="17">
        <v>525100228</v>
      </c>
      <c r="B1262" s="18" t="s">
        <v>2585</v>
      </c>
      <c r="C1262" s="10" t="s">
        <v>1260</v>
      </c>
      <c r="D1262" s="10" t="s">
        <v>2586</v>
      </c>
      <c r="E1262" s="10" t="s">
        <v>507</v>
      </c>
      <c r="F1262" s="128"/>
      <c r="G1262" s="128"/>
      <c r="H1262" s="128"/>
      <c r="I1262" s="19" t="s">
        <v>39</v>
      </c>
      <c r="J1262" s="223"/>
    </row>
    <row r="1263" spans="1:10" s="144" customFormat="1" ht="12.75" x14ac:dyDescent="0.25">
      <c r="A1263" s="17">
        <v>525301522</v>
      </c>
      <c r="B1263" s="18" t="s">
        <v>2587</v>
      </c>
      <c r="C1263" s="7" t="s">
        <v>2588</v>
      </c>
      <c r="D1263" s="7" t="s">
        <v>2589</v>
      </c>
      <c r="E1263" s="7" t="s">
        <v>2590</v>
      </c>
      <c r="F1263" s="128"/>
      <c r="G1263" s="128"/>
      <c r="H1263" s="128"/>
      <c r="I1263" s="19" t="s">
        <v>71</v>
      </c>
      <c r="J1263" s="223"/>
    </row>
    <row r="1264" spans="1:10" s="144" customFormat="1" ht="12.75" x14ac:dyDescent="0.25">
      <c r="A1264" s="17">
        <v>538002203</v>
      </c>
      <c r="B1264" s="18" t="s">
        <v>2593</v>
      </c>
      <c r="C1264" s="125">
        <v>190</v>
      </c>
      <c r="D1264" s="125">
        <v>31216</v>
      </c>
      <c r="E1264" s="125">
        <v>12.8</v>
      </c>
      <c r="F1264" s="128"/>
      <c r="G1264" s="128"/>
      <c r="H1264" s="128"/>
      <c r="I1264" s="19" t="s">
        <v>154</v>
      </c>
      <c r="J1264" s="223"/>
    </row>
    <row r="1265" spans="1:10" s="144" customFormat="1" ht="12.75" x14ac:dyDescent="0.25">
      <c r="A1265" s="17">
        <v>574005740</v>
      </c>
      <c r="B1265" s="18" t="s">
        <v>2592</v>
      </c>
      <c r="C1265" s="125">
        <v>225</v>
      </c>
      <c r="D1265" s="125">
        <v>40170</v>
      </c>
      <c r="E1265" s="125">
        <v>13.2</v>
      </c>
      <c r="F1265" s="128"/>
      <c r="G1265" s="128"/>
      <c r="H1265" s="128"/>
      <c r="I1265" s="19" t="s">
        <v>262</v>
      </c>
      <c r="J1265" s="223"/>
    </row>
    <row r="1266" spans="1:10" s="144" customFormat="1" ht="12.75" x14ac:dyDescent="0.25">
      <c r="A1266" s="17">
        <v>314784000</v>
      </c>
      <c r="B1266" s="18" t="s">
        <v>2594</v>
      </c>
      <c r="C1266" s="125">
        <v>225</v>
      </c>
      <c r="D1266" s="125">
        <v>41586</v>
      </c>
      <c r="E1266" s="125">
        <v>8.4</v>
      </c>
      <c r="F1266" s="128"/>
      <c r="G1266" s="128"/>
      <c r="H1266" s="128"/>
      <c r="I1266" s="19" t="s">
        <v>154</v>
      </c>
      <c r="J1266" s="223"/>
    </row>
    <row r="1267" spans="1:10" s="144" customFormat="1" ht="12.75" x14ac:dyDescent="0.25">
      <c r="A1267" s="7">
        <v>525100838</v>
      </c>
      <c r="B1267" s="18" t="s">
        <v>2595</v>
      </c>
      <c r="C1267" s="10" t="s">
        <v>2129</v>
      </c>
      <c r="D1267" s="10" t="s">
        <v>1234</v>
      </c>
      <c r="E1267" s="30" t="s">
        <v>2596</v>
      </c>
      <c r="F1267" s="10"/>
      <c r="G1267" s="10"/>
      <c r="H1267" s="10"/>
      <c r="I1267" s="23" t="s">
        <v>39</v>
      </c>
      <c r="J1267" s="223"/>
    </row>
    <row r="1268" spans="1:10" s="144" customFormat="1" ht="12.75" x14ac:dyDescent="0.25">
      <c r="A1268" s="7">
        <v>525200376</v>
      </c>
      <c r="B1268" s="18" t="s">
        <v>2608</v>
      </c>
      <c r="C1268" s="10" t="s">
        <v>3826</v>
      </c>
      <c r="D1268" s="10" t="s">
        <v>3827</v>
      </c>
      <c r="E1268" s="10" t="s">
        <v>3032</v>
      </c>
      <c r="F1268" s="128"/>
      <c r="G1268" s="128"/>
      <c r="H1268" s="128"/>
      <c r="I1268" s="19" t="s">
        <v>249</v>
      </c>
      <c r="J1268" s="223"/>
    </row>
    <row r="1269" spans="1:10" s="144" customFormat="1" ht="12.75" x14ac:dyDescent="0.25">
      <c r="A1269" s="7">
        <v>525701253</v>
      </c>
      <c r="B1269" s="18" t="s">
        <v>2607</v>
      </c>
      <c r="C1269" s="10" t="s">
        <v>2597</v>
      </c>
      <c r="D1269" s="10" t="s">
        <v>2598</v>
      </c>
      <c r="E1269" s="10" t="s">
        <v>2599</v>
      </c>
      <c r="F1269" s="128"/>
      <c r="G1269" s="128"/>
      <c r="H1269" s="128"/>
      <c r="I1269" s="19" t="s">
        <v>1663</v>
      </c>
      <c r="J1269" s="223"/>
    </row>
    <row r="1270" spans="1:10" s="144" customFormat="1" ht="12.75" x14ac:dyDescent="0.25">
      <c r="A1270" s="7">
        <v>636093301</v>
      </c>
      <c r="B1270" s="18" t="s">
        <v>2606</v>
      </c>
      <c r="C1270" s="125">
        <v>225</v>
      </c>
      <c r="D1270" s="125">
        <v>39978</v>
      </c>
      <c r="E1270" s="125">
        <v>13.3</v>
      </c>
      <c r="F1270" s="128"/>
      <c r="G1270" s="128"/>
      <c r="H1270" s="128"/>
      <c r="I1270" s="19" t="s">
        <v>273</v>
      </c>
      <c r="J1270" s="223"/>
    </row>
    <row r="1271" spans="1:10" s="144" customFormat="1" ht="12.75" x14ac:dyDescent="0.25">
      <c r="A1271" s="7">
        <v>525012106</v>
      </c>
      <c r="B1271" s="18" t="s">
        <v>2605</v>
      </c>
      <c r="C1271" s="125">
        <v>116</v>
      </c>
      <c r="D1271" s="125">
        <v>5471</v>
      </c>
      <c r="E1271" s="10" t="s">
        <v>1935</v>
      </c>
      <c r="F1271" s="128"/>
      <c r="G1271" s="128"/>
      <c r="H1271" s="128"/>
      <c r="I1271" s="19" t="s">
        <v>245</v>
      </c>
      <c r="J1271" s="223"/>
    </row>
    <row r="1272" spans="1:10" s="144" customFormat="1" ht="12.75" x14ac:dyDescent="0.25">
      <c r="A1272" s="17">
        <v>525022251</v>
      </c>
      <c r="B1272" s="18" t="s">
        <v>2600</v>
      </c>
      <c r="C1272" s="10" t="s">
        <v>2601</v>
      </c>
      <c r="D1272" s="10" t="s">
        <v>2602</v>
      </c>
      <c r="E1272" s="10" t="s">
        <v>2603</v>
      </c>
      <c r="F1272" s="128"/>
      <c r="G1272" s="128"/>
      <c r="H1272" s="128"/>
      <c r="I1272" s="19" t="s">
        <v>71</v>
      </c>
      <c r="J1272" s="223"/>
    </row>
    <row r="1273" spans="1:10" s="144" customFormat="1" ht="12.75" x14ac:dyDescent="0.25">
      <c r="A1273" s="17">
        <v>636021864</v>
      </c>
      <c r="B1273" s="18" t="s">
        <v>2604</v>
      </c>
      <c r="C1273" s="125">
        <v>225</v>
      </c>
      <c r="D1273" s="125">
        <v>41218</v>
      </c>
      <c r="E1273" s="125">
        <v>12.4</v>
      </c>
      <c r="F1273" s="128"/>
      <c r="G1273" s="128"/>
      <c r="H1273" s="128"/>
      <c r="I1273" s="19" t="s">
        <v>71</v>
      </c>
      <c r="J1273" s="223"/>
    </row>
    <row r="1274" spans="1:10" s="144" customFormat="1" ht="12.75" x14ac:dyDescent="0.25">
      <c r="A1274" s="17">
        <v>525601154</v>
      </c>
      <c r="B1274" s="18" t="s">
        <v>2609</v>
      </c>
      <c r="C1274" s="125">
        <v>113</v>
      </c>
      <c r="D1274" s="125">
        <v>5199</v>
      </c>
      <c r="E1274" s="125">
        <v>6.5</v>
      </c>
      <c r="F1274" s="128"/>
      <c r="G1274" s="128"/>
      <c r="H1274" s="128"/>
      <c r="I1274" s="19" t="s">
        <v>96</v>
      </c>
      <c r="J1274" s="223"/>
    </row>
    <row r="1275" spans="1:10" s="144" customFormat="1" ht="12.75" x14ac:dyDescent="0.25">
      <c r="A1275" s="17">
        <v>525015259</v>
      </c>
      <c r="B1275" s="18" t="s">
        <v>2610</v>
      </c>
      <c r="C1275" s="125">
        <v>74</v>
      </c>
      <c r="D1275" s="125">
        <v>961</v>
      </c>
      <c r="E1275" s="125">
        <v>4.5</v>
      </c>
      <c r="F1275" s="128"/>
      <c r="G1275" s="128"/>
      <c r="H1275" s="128"/>
      <c r="I1275" s="19" t="s">
        <v>1584</v>
      </c>
      <c r="J1275" s="223"/>
    </row>
    <row r="1276" spans="1:10" s="144" customFormat="1" ht="12.75" x14ac:dyDescent="0.25">
      <c r="A1276" s="17">
        <v>636023213</v>
      </c>
      <c r="B1276" s="127" t="s">
        <v>2611</v>
      </c>
      <c r="C1276" s="125">
        <v>275</v>
      </c>
      <c r="D1276" s="125">
        <v>50963</v>
      </c>
      <c r="E1276" s="125">
        <v>8.5</v>
      </c>
      <c r="F1276" s="128"/>
      <c r="G1276" s="128"/>
      <c r="H1276" s="128"/>
      <c r="I1276" s="19" t="s">
        <v>817</v>
      </c>
      <c r="J1276" s="223"/>
    </row>
    <row r="1277" spans="1:10" s="144" customFormat="1" ht="12.75" x14ac:dyDescent="0.25">
      <c r="A1277" s="17">
        <v>477271800</v>
      </c>
      <c r="B1277" s="18" t="s">
        <v>2612</v>
      </c>
      <c r="C1277" s="125">
        <v>200</v>
      </c>
      <c r="D1277" s="125">
        <v>36467</v>
      </c>
      <c r="E1277" s="125">
        <v>11.4</v>
      </c>
      <c r="F1277" s="128"/>
      <c r="G1277" s="128"/>
      <c r="H1277" s="128"/>
      <c r="I1277" s="19" t="s">
        <v>1534</v>
      </c>
      <c r="J1277" s="223"/>
    </row>
    <row r="1278" spans="1:10" s="144" customFormat="1" ht="12.75" x14ac:dyDescent="0.25">
      <c r="A1278" s="7">
        <v>440031000</v>
      </c>
      <c r="B1278" s="18" t="s">
        <v>2615</v>
      </c>
      <c r="C1278" s="125">
        <v>141</v>
      </c>
      <c r="D1278" s="125">
        <v>11534</v>
      </c>
      <c r="E1278" s="125">
        <v>5.7</v>
      </c>
      <c r="F1278" s="128"/>
      <c r="G1278" s="128"/>
      <c r="H1278" s="128"/>
      <c r="I1278" s="19" t="s">
        <v>2096</v>
      </c>
      <c r="J1278" s="223"/>
    </row>
    <row r="1279" spans="1:10" s="144" customFormat="1" ht="12.75" x14ac:dyDescent="0.25">
      <c r="A1279" s="17">
        <v>525500408</v>
      </c>
      <c r="B1279" s="18" t="s">
        <v>2616</v>
      </c>
      <c r="C1279" s="10" t="s">
        <v>2617</v>
      </c>
      <c r="D1279" s="10" t="s">
        <v>2618</v>
      </c>
      <c r="E1279" s="10" t="s">
        <v>2619</v>
      </c>
      <c r="F1279" s="128"/>
      <c r="G1279" s="128"/>
      <c r="H1279" s="128"/>
      <c r="I1279" s="19" t="s">
        <v>245</v>
      </c>
      <c r="J1279" s="223"/>
    </row>
    <row r="1280" spans="1:10" s="144" customFormat="1" ht="12.75" x14ac:dyDescent="0.25">
      <c r="A1280" s="17">
        <v>525023309</v>
      </c>
      <c r="B1280" s="22" t="s">
        <v>2621</v>
      </c>
      <c r="C1280" s="10">
        <v>57</v>
      </c>
      <c r="D1280" s="10">
        <v>301</v>
      </c>
      <c r="E1280" s="25">
        <v>3</v>
      </c>
      <c r="F1280" s="128"/>
      <c r="G1280" s="128"/>
      <c r="H1280" s="128"/>
      <c r="I1280" s="19" t="s">
        <v>2622</v>
      </c>
      <c r="J1280" s="223"/>
    </row>
    <row r="1281" spans="1:10" s="144" customFormat="1" ht="12.75" x14ac:dyDescent="0.25">
      <c r="A1281" s="17">
        <v>525401806</v>
      </c>
      <c r="B1281" s="18" t="s">
        <v>2623</v>
      </c>
      <c r="C1281" s="125">
        <v>89</v>
      </c>
      <c r="D1281" s="125">
        <v>3459</v>
      </c>
      <c r="E1281" s="125">
        <v>5.4</v>
      </c>
      <c r="F1281" s="128"/>
      <c r="G1281" s="128"/>
      <c r="H1281" s="128"/>
      <c r="I1281" s="19" t="s">
        <v>96</v>
      </c>
      <c r="J1281" s="223"/>
    </row>
    <row r="1282" spans="1:10" s="144" customFormat="1" ht="12.75" x14ac:dyDescent="0.25">
      <c r="A1282" s="17">
        <v>525701162</v>
      </c>
      <c r="B1282" s="18" t="s">
        <v>2625</v>
      </c>
      <c r="C1282" s="10" t="s">
        <v>3280</v>
      </c>
      <c r="D1282" s="10" t="s">
        <v>2626</v>
      </c>
      <c r="E1282" s="10" t="s">
        <v>855</v>
      </c>
      <c r="F1282" s="128"/>
      <c r="G1282" s="128"/>
      <c r="H1282" s="128"/>
      <c r="I1282" s="19" t="s">
        <v>3026</v>
      </c>
      <c r="J1282" s="223"/>
    </row>
    <row r="1283" spans="1:10" s="144" customFormat="1" ht="12.75" x14ac:dyDescent="0.25">
      <c r="A1283" s="17">
        <v>414019000</v>
      </c>
      <c r="B1283" s="18" t="s">
        <v>2624</v>
      </c>
      <c r="C1283" s="125">
        <v>225</v>
      </c>
      <c r="D1283" s="125">
        <v>40913</v>
      </c>
      <c r="E1283" s="125">
        <v>7.1</v>
      </c>
      <c r="F1283" s="128"/>
      <c r="G1283" s="128"/>
      <c r="H1283" s="128"/>
      <c r="I1283" s="19" t="s">
        <v>273</v>
      </c>
      <c r="J1283" s="223"/>
    </row>
    <row r="1284" spans="1:10" s="144" customFormat="1" ht="12.75" x14ac:dyDescent="0.25">
      <c r="A1284" s="17">
        <v>525003233</v>
      </c>
      <c r="B1284" s="22" t="s">
        <v>2627</v>
      </c>
      <c r="C1284" s="10" t="s">
        <v>2628</v>
      </c>
      <c r="D1284" s="10" t="s">
        <v>2629</v>
      </c>
      <c r="E1284" s="25" t="s">
        <v>2630</v>
      </c>
      <c r="F1284" s="128"/>
      <c r="G1284" s="128"/>
      <c r="H1284" s="128"/>
      <c r="I1284" s="19" t="s">
        <v>160</v>
      </c>
      <c r="J1284" s="223"/>
    </row>
    <row r="1285" spans="1:10" s="144" customFormat="1" ht="12.75" x14ac:dyDescent="0.25">
      <c r="A1285" s="17">
        <v>636014788</v>
      </c>
      <c r="B1285" s="18" t="s">
        <v>2631</v>
      </c>
      <c r="C1285" s="125">
        <v>186.6</v>
      </c>
      <c r="D1285" s="125">
        <v>30351</v>
      </c>
      <c r="E1285" s="125">
        <v>7.1</v>
      </c>
      <c r="F1285" s="128"/>
      <c r="G1285" s="128"/>
      <c r="H1285" s="128"/>
      <c r="I1285" s="19" t="s">
        <v>273</v>
      </c>
      <c r="J1285" s="223"/>
    </row>
    <row r="1286" spans="1:10" s="144" customFormat="1" ht="12.75" x14ac:dyDescent="0.25">
      <c r="A1286" s="7">
        <v>525401873</v>
      </c>
      <c r="B1286" s="18" t="s">
        <v>2632</v>
      </c>
      <c r="C1286" s="10" t="s">
        <v>251</v>
      </c>
      <c r="D1286" s="10" t="s">
        <v>2633</v>
      </c>
      <c r="E1286" s="40" t="s">
        <v>2634</v>
      </c>
      <c r="F1286" s="128"/>
      <c r="G1286" s="128"/>
      <c r="H1286" s="128"/>
      <c r="I1286" s="19" t="s">
        <v>46</v>
      </c>
      <c r="J1286" s="223"/>
    </row>
    <row r="1287" spans="1:10" s="144" customFormat="1" ht="12.75" x14ac:dyDescent="0.25">
      <c r="A1287" s="17">
        <v>525201693</v>
      </c>
      <c r="B1287" s="18" t="s">
        <v>2635</v>
      </c>
      <c r="C1287" s="10" t="s">
        <v>2313</v>
      </c>
      <c r="D1287" s="10" t="s">
        <v>878</v>
      </c>
      <c r="E1287" s="10" t="s">
        <v>243</v>
      </c>
      <c r="F1287" s="128"/>
      <c r="G1287" s="128"/>
      <c r="H1287" s="128"/>
      <c r="I1287" s="19" t="s">
        <v>46</v>
      </c>
      <c r="J1287" s="223"/>
    </row>
    <row r="1288" spans="1:10" s="144" customFormat="1" ht="12.75" x14ac:dyDescent="0.25">
      <c r="A1288" s="17">
        <v>413330000</v>
      </c>
      <c r="B1288" s="18" t="s">
        <v>2636</v>
      </c>
      <c r="C1288" s="125">
        <v>190</v>
      </c>
      <c r="D1288" s="125">
        <v>32460</v>
      </c>
      <c r="E1288" s="125">
        <v>7.1</v>
      </c>
      <c r="F1288" s="128"/>
      <c r="G1288" s="128"/>
      <c r="H1288" s="128"/>
      <c r="I1288" s="19" t="s">
        <v>273</v>
      </c>
      <c r="J1288" s="223"/>
    </row>
    <row r="1289" spans="1:10" s="144" customFormat="1" ht="12.75" x14ac:dyDescent="0.25">
      <c r="A1289" s="17">
        <v>352003756</v>
      </c>
      <c r="B1289" s="18" t="s">
        <v>2637</v>
      </c>
      <c r="C1289" s="125">
        <v>183</v>
      </c>
      <c r="D1289" s="125">
        <v>30131</v>
      </c>
      <c r="E1289" s="125">
        <v>12.1</v>
      </c>
      <c r="F1289" s="128"/>
      <c r="G1289" s="128"/>
      <c r="H1289" s="128"/>
      <c r="I1289" s="19" t="s">
        <v>160</v>
      </c>
      <c r="J1289" s="223"/>
    </row>
    <row r="1290" spans="1:10" s="144" customFormat="1" ht="12.75" x14ac:dyDescent="0.25">
      <c r="A1290" s="17">
        <v>538006235</v>
      </c>
      <c r="B1290" s="18" t="s">
        <v>2638</v>
      </c>
      <c r="C1290" s="125">
        <v>183</v>
      </c>
      <c r="D1290" s="125">
        <v>30031</v>
      </c>
      <c r="E1290" s="125">
        <v>8.1999999999999993</v>
      </c>
      <c r="F1290" s="128"/>
      <c r="G1290" s="128"/>
      <c r="H1290" s="128"/>
      <c r="I1290" s="19" t="s">
        <v>2096</v>
      </c>
      <c r="J1290" s="223"/>
    </row>
    <row r="1291" spans="1:10" s="144" customFormat="1" ht="12.75" x14ac:dyDescent="0.25">
      <c r="A1291" s="17">
        <v>525022186</v>
      </c>
      <c r="B1291" s="127" t="s">
        <v>2639</v>
      </c>
      <c r="C1291" s="10" t="s">
        <v>3879</v>
      </c>
      <c r="D1291" s="125">
        <v>1058</v>
      </c>
      <c r="E1291" s="10" t="s">
        <v>195</v>
      </c>
      <c r="F1291" s="128"/>
      <c r="G1291" s="128"/>
      <c r="H1291" s="128"/>
      <c r="I1291" s="19" t="s">
        <v>2398</v>
      </c>
      <c r="J1291" s="223"/>
    </row>
    <row r="1292" spans="1:10" s="144" customFormat="1" ht="12.75" x14ac:dyDescent="0.25">
      <c r="A1292" s="17">
        <v>357987000</v>
      </c>
      <c r="B1292" s="18" t="s">
        <v>2640</v>
      </c>
      <c r="C1292" s="125">
        <v>120</v>
      </c>
      <c r="D1292" s="125">
        <v>9595</v>
      </c>
      <c r="E1292" s="125">
        <v>8.8000000000000007</v>
      </c>
      <c r="F1292" s="128"/>
      <c r="G1292" s="128"/>
      <c r="H1292" s="128"/>
      <c r="I1292" s="19" t="s">
        <v>262</v>
      </c>
      <c r="J1292" s="223"/>
    </row>
    <row r="1293" spans="1:10" s="144" customFormat="1" ht="12.75" x14ac:dyDescent="0.25">
      <c r="A1293" s="17">
        <v>525701004</v>
      </c>
      <c r="B1293" s="18" t="s">
        <v>2641</v>
      </c>
      <c r="C1293" s="10" t="s">
        <v>2313</v>
      </c>
      <c r="D1293" s="10" t="s">
        <v>878</v>
      </c>
      <c r="E1293" s="10" t="s">
        <v>436</v>
      </c>
      <c r="F1293" s="128"/>
      <c r="G1293" s="128"/>
      <c r="H1293" s="128"/>
      <c r="I1293" s="19" t="s">
        <v>46</v>
      </c>
      <c r="J1293" s="223"/>
    </row>
    <row r="1294" spans="1:10" s="144" customFormat="1" ht="12.75" x14ac:dyDescent="0.25">
      <c r="A1294" s="17">
        <v>356680000</v>
      </c>
      <c r="B1294" s="18" t="s">
        <v>2648</v>
      </c>
      <c r="C1294" s="125">
        <v>229</v>
      </c>
      <c r="D1294" s="125">
        <v>43651</v>
      </c>
      <c r="E1294" s="125">
        <v>10</v>
      </c>
      <c r="F1294" s="128"/>
      <c r="G1294" s="128"/>
      <c r="H1294" s="128"/>
      <c r="I1294" s="19" t="s">
        <v>71</v>
      </c>
      <c r="J1294" s="223"/>
    </row>
    <row r="1295" spans="1:10" s="144" customFormat="1" ht="12.75" x14ac:dyDescent="0.25">
      <c r="A1295" s="17">
        <v>525117019</v>
      </c>
      <c r="B1295" s="18" t="s">
        <v>2643</v>
      </c>
      <c r="C1295" s="10" t="s">
        <v>2644</v>
      </c>
      <c r="D1295" s="10" t="s">
        <v>2645</v>
      </c>
      <c r="E1295" s="10" t="s">
        <v>1195</v>
      </c>
      <c r="F1295" s="128"/>
      <c r="G1295" s="128"/>
      <c r="H1295" s="128"/>
      <c r="I1295" s="19" t="s">
        <v>46</v>
      </c>
      <c r="J1295" s="223"/>
    </row>
    <row r="1296" spans="1:10" s="144" customFormat="1" ht="12.75" x14ac:dyDescent="0.25">
      <c r="A1296" s="17">
        <v>525021323</v>
      </c>
      <c r="B1296" s="18" t="s">
        <v>2647</v>
      </c>
      <c r="C1296" s="125">
        <v>84</v>
      </c>
      <c r="D1296" s="125">
        <v>2567</v>
      </c>
      <c r="E1296" s="125">
        <v>4.2</v>
      </c>
      <c r="F1296" s="128"/>
      <c r="G1296" s="128"/>
      <c r="H1296" s="128"/>
      <c r="I1296" s="19" t="s">
        <v>1584</v>
      </c>
      <c r="J1296" s="223"/>
    </row>
    <row r="1297" spans="1:10" s="144" customFormat="1" ht="12.75" x14ac:dyDescent="0.25">
      <c r="A1297" s="17">
        <v>525201437</v>
      </c>
      <c r="B1297" s="18" t="s">
        <v>2646</v>
      </c>
      <c r="C1297" s="125">
        <v>166</v>
      </c>
      <c r="D1297" s="125">
        <v>18302</v>
      </c>
      <c r="E1297" s="125">
        <v>5.2</v>
      </c>
      <c r="F1297" s="128"/>
      <c r="G1297" s="128"/>
      <c r="H1297" s="128"/>
      <c r="I1297" s="19" t="s">
        <v>46</v>
      </c>
      <c r="J1297" s="223"/>
    </row>
    <row r="1298" spans="1:10" s="144" customFormat="1" ht="12.75" x14ac:dyDescent="0.25">
      <c r="A1298" s="17">
        <v>525003352</v>
      </c>
      <c r="B1298" s="18" t="s">
        <v>2649</v>
      </c>
      <c r="C1298" s="10" t="s">
        <v>905</v>
      </c>
      <c r="D1298" s="10" t="s">
        <v>2650</v>
      </c>
      <c r="E1298" s="10" t="s">
        <v>2651</v>
      </c>
      <c r="F1298" s="128"/>
      <c r="G1298" s="128"/>
      <c r="H1298" s="128"/>
      <c r="I1298" s="19" t="s">
        <v>1895</v>
      </c>
      <c r="J1298" s="223"/>
    </row>
    <row r="1299" spans="1:10" s="144" customFormat="1" ht="12.75" x14ac:dyDescent="0.25">
      <c r="A1299" s="17">
        <v>525007314</v>
      </c>
      <c r="B1299" s="18" t="s">
        <v>2652</v>
      </c>
      <c r="C1299" s="125">
        <v>95.6</v>
      </c>
      <c r="D1299" s="125">
        <v>2765</v>
      </c>
      <c r="E1299" s="125">
        <v>6</v>
      </c>
      <c r="F1299" s="128"/>
      <c r="G1299" s="128"/>
      <c r="H1299" s="128"/>
      <c r="I1299" s="19" t="s">
        <v>160</v>
      </c>
      <c r="J1299" s="223"/>
    </row>
    <row r="1300" spans="1:10" s="144" customFormat="1" ht="12.75" x14ac:dyDescent="0.25">
      <c r="A1300" s="17">
        <v>525600094</v>
      </c>
      <c r="B1300" s="18" t="s">
        <v>3488</v>
      </c>
      <c r="C1300" s="10" t="s">
        <v>3489</v>
      </c>
      <c r="D1300" s="10" t="s">
        <v>2653</v>
      </c>
      <c r="E1300" s="10" t="s">
        <v>3490</v>
      </c>
      <c r="F1300" s="128"/>
      <c r="G1300" s="128"/>
      <c r="H1300" s="128"/>
      <c r="I1300" s="19" t="s">
        <v>2654</v>
      </c>
      <c r="J1300" s="223"/>
    </row>
    <row r="1301" spans="1:10" s="144" customFormat="1" ht="12.75" x14ac:dyDescent="0.25">
      <c r="A1301" s="17">
        <v>352036000</v>
      </c>
      <c r="B1301" s="22" t="s">
        <v>2655</v>
      </c>
      <c r="C1301" s="10">
        <v>229</v>
      </c>
      <c r="D1301" s="10">
        <v>44069</v>
      </c>
      <c r="E1301" s="10">
        <v>7.4</v>
      </c>
      <c r="F1301" s="128"/>
      <c r="G1301" s="128"/>
      <c r="H1301" s="128"/>
      <c r="I1301" s="19" t="s">
        <v>71</v>
      </c>
      <c r="J1301" s="223"/>
    </row>
    <row r="1302" spans="1:10" s="144" customFormat="1" ht="12.75" x14ac:dyDescent="0.25">
      <c r="A1302" s="17">
        <v>311000134</v>
      </c>
      <c r="B1302" s="18" t="s">
        <v>2656</v>
      </c>
      <c r="C1302" s="125">
        <v>183</v>
      </c>
      <c r="D1302" s="125">
        <v>25269</v>
      </c>
      <c r="E1302" s="125">
        <v>9.4</v>
      </c>
      <c r="F1302" s="128"/>
      <c r="G1302" s="128"/>
      <c r="H1302" s="128"/>
      <c r="I1302" s="19" t="s">
        <v>2096</v>
      </c>
      <c r="J1302" s="223"/>
    </row>
    <row r="1303" spans="1:10" s="144" customFormat="1" ht="12.75" x14ac:dyDescent="0.25">
      <c r="A1303" s="17">
        <v>525022231</v>
      </c>
      <c r="B1303" s="18" t="s">
        <v>2657</v>
      </c>
      <c r="C1303" s="10" t="s">
        <v>2658</v>
      </c>
      <c r="D1303" s="10" t="s">
        <v>2659</v>
      </c>
      <c r="E1303" s="10" t="s">
        <v>2660</v>
      </c>
      <c r="F1303" s="128"/>
      <c r="G1303" s="128"/>
      <c r="H1303" s="128"/>
      <c r="I1303" s="19" t="s">
        <v>1976</v>
      </c>
      <c r="J1303" s="223"/>
    </row>
    <row r="1304" spans="1:10" s="144" customFormat="1" ht="12.75" x14ac:dyDescent="0.25">
      <c r="A1304" s="21">
        <v>525016752</v>
      </c>
      <c r="B1304" s="22" t="s">
        <v>2661</v>
      </c>
      <c r="C1304" s="10">
        <v>52</v>
      </c>
      <c r="D1304" s="10">
        <v>674</v>
      </c>
      <c r="E1304" s="10">
        <v>3.2</v>
      </c>
      <c r="F1304" s="128"/>
      <c r="G1304" s="128"/>
      <c r="H1304" s="128"/>
      <c r="I1304" s="19" t="s">
        <v>246</v>
      </c>
      <c r="J1304" s="223"/>
    </row>
    <row r="1305" spans="1:10" s="144" customFormat="1" ht="12.75" x14ac:dyDescent="0.25">
      <c r="A1305" s="17">
        <v>525100384</v>
      </c>
      <c r="B1305" s="18" t="s">
        <v>3070</v>
      </c>
      <c r="C1305" s="10" t="s">
        <v>3071</v>
      </c>
      <c r="D1305" s="10" t="s">
        <v>3072</v>
      </c>
      <c r="E1305" s="10" t="s">
        <v>2596</v>
      </c>
      <c r="F1305" s="128"/>
      <c r="G1305" s="128"/>
      <c r="H1305" s="128"/>
      <c r="I1305" s="19" t="s">
        <v>39</v>
      </c>
      <c r="J1305" s="223"/>
    </row>
    <row r="1306" spans="1:10" s="144" customFormat="1" ht="12.75" x14ac:dyDescent="0.25">
      <c r="A1306" s="17">
        <v>525003242</v>
      </c>
      <c r="B1306" s="18" t="s">
        <v>2662</v>
      </c>
      <c r="C1306" s="10" t="s">
        <v>2663</v>
      </c>
      <c r="D1306" s="10" t="s">
        <v>2664</v>
      </c>
      <c r="E1306" s="10" t="s">
        <v>1658</v>
      </c>
      <c r="F1306" s="128"/>
      <c r="G1306" s="128"/>
      <c r="H1306" s="128"/>
      <c r="I1306" s="19" t="s">
        <v>41</v>
      </c>
      <c r="J1306" s="223"/>
    </row>
    <row r="1307" spans="1:10" s="144" customFormat="1" ht="12.75" x14ac:dyDescent="0.25">
      <c r="A1307" s="17">
        <v>525018127</v>
      </c>
      <c r="B1307" s="18" t="s">
        <v>2665</v>
      </c>
      <c r="C1307" s="125">
        <v>52</v>
      </c>
      <c r="D1307" s="125">
        <v>477</v>
      </c>
      <c r="E1307" s="125">
        <v>3.5</v>
      </c>
      <c r="F1307" s="128"/>
      <c r="G1307" s="128"/>
      <c r="H1307" s="128"/>
      <c r="I1307" s="19" t="s">
        <v>2774</v>
      </c>
      <c r="J1307" s="223"/>
    </row>
    <row r="1308" spans="1:10" s="144" customFormat="1" ht="12.75" x14ac:dyDescent="0.25">
      <c r="A1308" s="17">
        <v>525500027</v>
      </c>
      <c r="B1308" s="18" t="s">
        <v>3162</v>
      </c>
      <c r="C1308" s="10" t="s">
        <v>2666</v>
      </c>
      <c r="D1308" s="10" t="s">
        <v>3163</v>
      </c>
      <c r="E1308" s="10" t="s">
        <v>3164</v>
      </c>
      <c r="F1308" s="128"/>
      <c r="G1308" s="128"/>
      <c r="H1308" s="128"/>
      <c r="I1308" s="19" t="s">
        <v>39</v>
      </c>
      <c r="J1308" s="223"/>
    </row>
    <row r="1309" spans="1:10" s="144" customFormat="1" ht="12.75" x14ac:dyDescent="0.25">
      <c r="A1309" s="21">
        <v>525900722</v>
      </c>
      <c r="B1309" s="22" t="s">
        <v>2667</v>
      </c>
      <c r="C1309" s="125">
        <v>96</v>
      </c>
      <c r="D1309" s="125">
        <v>2297</v>
      </c>
      <c r="E1309" s="10" t="s">
        <v>794</v>
      </c>
      <c r="F1309" s="125"/>
      <c r="G1309" s="125"/>
      <c r="H1309" s="125"/>
      <c r="I1309" s="23" t="s">
        <v>96</v>
      </c>
      <c r="J1309" s="223"/>
    </row>
    <row r="1310" spans="1:10" s="144" customFormat="1" ht="12.75" x14ac:dyDescent="0.25">
      <c r="A1310" s="17">
        <v>538009157</v>
      </c>
      <c r="B1310" s="18" t="s">
        <v>2668</v>
      </c>
      <c r="C1310" s="7">
        <v>186</v>
      </c>
      <c r="D1310" s="7">
        <v>26659</v>
      </c>
      <c r="E1310" s="7">
        <v>7.7</v>
      </c>
      <c r="F1310" s="128"/>
      <c r="G1310" s="128"/>
      <c r="H1310" s="128"/>
      <c r="I1310" s="19" t="s">
        <v>160</v>
      </c>
      <c r="J1310" s="223"/>
    </row>
    <row r="1311" spans="1:10" s="144" customFormat="1" ht="12.75" x14ac:dyDescent="0.25">
      <c r="A1311" s="17">
        <v>525200327</v>
      </c>
      <c r="B1311" s="18" t="s">
        <v>2669</v>
      </c>
      <c r="C1311" s="10" t="s">
        <v>615</v>
      </c>
      <c r="D1311" s="10" t="s">
        <v>2670</v>
      </c>
      <c r="E1311" s="10" t="s">
        <v>2671</v>
      </c>
      <c r="F1311" s="128"/>
      <c r="G1311" s="128"/>
      <c r="H1311" s="128"/>
      <c r="I1311" s="19" t="s">
        <v>1663</v>
      </c>
      <c r="J1311" s="223"/>
    </row>
    <row r="1312" spans="1:10" s="144" customFormat="1" ht="12.75" x14ac:dyDescent="0.25">
      <c r="A1312" s="17">
        <v>525119074</v>
      </c>
      <c r="B1312" s="18" t="s">
        <v>2673</v>
      </c>
      <c r="C1312" s="125">
        <v>145</v>
      </c>
      <c r="D1312" s="125">
        <v>11656</v>
      </c>
      <c r="E1312" s="125">
        <v>6</v>
      </c>
      <c r="F1312" s="128"/>
      <c r="G1312" s="128"/>
      <c r="H1312" s="128"/>
      <c r="I1312" s="19" t="s">
        <v>96</v>
      </c>
      <c r="J1312" s="223"/>
    </row>
    <row r="1313" spans="1:10" s="144" customFormat="1" ht="12.75" x14ac:dyDescent="0.25">
      <c r="A1313" s="17">
        <v>525112011</v>
      </c>
      <c r="B1313" s="22" t="s">
        <v>2674</v>
      </c>
      <c r="C1313" s="10" t="s">
        <v>1626</v>
      </c>
      <c r="D1313" s="10" t="s">
        <v>2515</v>
      </c>
      <c r="E1313" s="10" t="s">
        <v>897</v>
      </c>
      <c r="F1313" s="128"/>
      <c r="G1313" s="128"/>
      <c r="H1313" s="128"/>
      <c r="I1313" s="19" t="s">
        <v>249</v>
      </c>
      <c r="J1313" s="223"/>
    </row>
    <row r="1314" spans="1:10" s="144" customFormat="1" ht="12.75" x14ac:dyDescent="0.25">
      <c r="A1314" s="17">
        <v>525501900</v>
      </c>
      <c r="B1314" s="18" t="s">
        <v>2675</v>
      </c>
      <c r="C1314" s="10" t="s">
        <v>2676</v>
      </c>
      <c r="D1314" s="10" t="s">
        <v>2677</v>
      </c>
      <c r="E1314" s="10" t="s">
        <v>3441</v>
      </c>
      <c r="F1314" s="128"/>
      <c r="G1314" s="128"/>
      <c r="H1314" s="128"/>
      <c r="I1314" s="19" t="s">
        <v>1895</v>
      </c>
      <c r="J1314" s="223"/>
    </row>
    <row r="1315" spans="1:10" s="144" customFormat="1" ht="12.75" x14ac:dyDescent="0.25">
      <c r="A1315" s="17">
        <v>525601234</v>
      </c>
      <c r="B1315" s="18" t="s">
        <v>2678</v>
      </c>
      <c r="C1315" s="10" t="s">
        <v>2679</v>
      </c>
      <c r="D1315" s="10" t="s">
        <v>2680</v>
      </c>
      <c r="E1315" s="10" t="s">
        <v>2681</v>
      </c>
      <c r="F1315" s="128"/>
      <c r="G1315" s="128"/>
      <c r="H1315" s="128"/>
      <c r="I1315" s="19" t="s">
        <v>39</v>
      </c>
      <c r="J1315" s="223"/>
    </row>
    <row r="1316" spans="1:10" s="144" customFormat="1" ht="12.75" x14ac:dyDescent="0.25">
      <c r="A1316" s="17">
        <v>525200500</v>
      </c>
      <c r="B1316" s="22" t="s">
        <v>2682</v>
      </c>
      <c r="C1316" s="10" t="s">
        <v>2151</v>
      </c>
      <c r="D1316" s="10" t="s">
        <v>2683</v>
      </c>
      <c r="E1316" s="10" t="s">
        <v>2684</v>
      </c>
      <c r="F1316" s="128"/>
      <c r="G1316" s="128"/>
      <c r="H1316" s="128"/>
      <c r="I1316" s="19" t="s">
        <v>41</v>
      </c>
      <c r="J1316" s="223"/>
    </row>
    <row r="1317" spans="1:10" s="144" customFormat="1" ht="12.75" x14ac:dyDescent="0.25">
      <c r="A1317" s="17">
        <v>525355000</v>
      </c>
      <c r="B1317" s="18" t="s">
        <v>2685</v>
      </c>
      <c r="C1317" s="7" t="s">
        <v>767</v>
      </c>
      <c r="D1317" s="7">
        <v>1263</v>
      </c>
      <c r="E1317" s="7" t="s">
        <v>195</v>
      </c>
      <c r="F1317" s="10"/>
      <c r="G1317" s="10"/>
      <c r="H1317" s="10"/>
      <c r="I1317" s="7" t="s">
        <v>39</v>
      </c>
      <c r="J1317" s="223"/>
    </row>
    <row r="1318" spans="1:10" s="144" customFormat="1" ht="12.75" x14ac:dyDescent="0.25">
      <c r="A1318" s="17">
        <v>538009379</v>
      </c>
      <c r="B1318" s="133" t="s">
        <v>2686</v>
      </c>
      <c r="C1318" s="134">
        <v>300</v>
      </c>
      <c r="D1318" s="134">
        <v>109176</v>
      </c>
      <c r="E1318" s="134">
        <v>16.899999999999999</v>
      </c>
      <c r="F1318" s="128"/>
      <c r="G1318" s="128"/>
      <c r="H1318" s="128"/>
      <c r="I1318" s="19" t="s">
        <v>154</v>
      </c>
      <c r="J1318" s="223"/>
    </row>
    <row r="1319" spans="1:10" s="144" customFormat="1" ht="12.75" x14ac:dyDescent="0.25">
      <c r="A1319" s="17">
        <v>525121022</v>
      </c>
      <c r="B1319" s="18" t="s">
        <v>2687</v>
      </c>
      <c r="C1319" s="125">
        <v>100</v>
      </c>
      <c r="D1319" s="125">
        <v>5153</v>
      </c>
      <c r="E1319" s="125">
        <v>7</v>
      </c>
      <c r="F1319" s="128"/>
      <c r="G1319" s="128"/>
      <c r="H1319" s="128"/>
      <c r="I1319" s="19" t="s">
        <v>96</v>
      </c>
      <c r="J1319" s="223"/>
    </row>
    <row r="1320" spans="1:10" s="144" customFormat="1" ht="12.75" x14ac:dyDescent="0.25">
      <c r="A1320" s="17">
        <v>525015935</v>
      </c>
      <c r="B1320" s="18" t="s">
        <v>2705</v>
      </c>
      <c r="C1320" s="10" t="s">
        <v>2688</v>
      </c>
      <c r="D1320" s="10" t="s">
        <v>2689</v>
      </c>
      <c r="E1320" s="10" t="s">
        <v>2690</v>
      </c>
      <c r="F1320" s="128"/>
      <c r="G1320" s="128"/>
      <c r="H1320" s="128"/>
      <c r="I1320" s="19" t="s">
        <v>46</v>
      </c>
      <c r="J1320" s="223"/>
    </row>
    <row r="1321" spans="1:10" s="144" customFormat="1" ht="12.75" x14ac:dyDescent="0.25">
      <c r="A1321" s="17">
        <v>636022554</v>
      </c>
      <c r="B1321" s="133" t="s">
        <v>2691</v>
      </c>
      <c r="C1321" s="134">
        <v>229</v>
      </c>
      <c r="D1321" s="134">
        <v>46787</v>
      </c>
      <c r="E1321" s="134">
        <v>8.9</v>
      </c>
      <c r="F1321" s="128"/>
      <c r="G1321" s="128"/>
      <c r="H1321" s="128"/>
      <c r="I1321" s="19" t="s">
        <v>45</v>
      </c>
      <c r="J1321" s="223"/>
    </row>
    <row r="1322" spans="1:10" s="144" customFormat="1" ht="12.75" x14ac:dyDescent="0.25">
      <c r="A1322" s="17">
        <v>219605000</v>
      </c>
      <c r="B1322" s="18" t="s">
        <v>2692</v>
      </c>
      <c r="C1322" s="125">
        <v>183</v>
      </c>
      <c r="D1322" s="125">
        <v>30229</v>
      </c>
      <c r="E1322" s="125">
        <v>10</v>
      </c>
      <c r="F1322" s="128"/>
      <c r="G1322" s="128"/>
      <c r="H1322" s="7" t="s">
        <v>2693</v>
      </c>
      <c r="I1322" s="19" t="s">
        <v>2096</v>
      </c>
      <c r="J1322" s="223"/>
    </row>
    <row r="1323" spans="1:10" s="144" customFormat="1" ht="12.75" x14ac:dyDescent="0.25">
      <c r="A1323" s="17">
        <v>374346000</v>
      </c>
      <c r="B1323" s="18" t="s">
        <v>2694</v>
      </c>
      <c r="C1323" s="125">
        <v>120</v>
      </c>
      <c r="D1323" s="125">
        <v>9587</v>
      </c>
      <c r="E1323" s="125">
        <v>4.7</v>
      </c>
      <c r="F1323" s="128"/>
      <c r="G1323" s="128"/>
      <c r="H1323" s="128"/>
      <c r="I1323" s="19" t="s">
        <v>262</v>
      </c>
      <c r="J1323" s="223"/>
    </row>
    <row r="1324" spans="1:10" s="144" customFormat="1" ht="12.75" x14ac:dyDescent="0.25">
      <c r="A1324" s="17">
        <v>232015389</v>
      </c>
      <c r="B1324" s="18" t="s">
        <v>2695</v>
      </c>
      <c r="C1324" s="125">
        <v>250</v>
      </c>
      <c r="D1324" s="125">
        <v>64977</v>
      </c>
      <c r="E1324" s="125">
        <v>8.5</v>
      </c>
      <c r="F1324" s="128"/>
      <c r="G1324" s="128"/>
      <c r="H1324" s="128"/>
      <c r="I1324" s="19" t="s">
        <v>248</v>
      </c>
      <c r="J1324" s="223"/>
    </row>
    <row r="1325" spans="1:10" s="144" customFormat="1" ht="12.75" x14ac:dyDescent="0.25">
      <c r="A1325" s="17">
        <v>352834000</v>
      </c>
      <c r="B1325" s="18" t="s">
        <v>2699</v>
      </c>
      <c r="C1325" s="125">
        <v>179</v>
      </c>
      <c r="D1325" s="125">
        <v>23209</v>
      </c>
      <c r="E1325" s="125">
        <v>10.5</v>
      </c>
      <c r="F1325" s="128"/>
      <c r="G1325" s="128"/>
      <c r="H1325" s="128"/>
      <c r="I1325" s="19" t="s">
        <v>71</v>
      </c>
      <c r="J1325" s="223"/>
    </row>
    <row r="1326" spans="1:10" s="144" customFormat="1" ht="12.75" x14ac:dyDescent="0.25">
      <c r="A1326" s="17">
        <v>371475000</v>
      </c>
      <c r="B1326" s="22" t="s">
        <v>2700</v>
      </c>
      <c r="C1326" s="10">
        <v>275</v>
      </c>
      <c r="D1326" s="10">
        <v>65483</v>
      </c>
      <c r="E1326" s="10">
        <v>11.9</v>
      </c>
      <c r="F1326" s="128"/>
      <c r="G1326" s="128"/>
      <c r="H1326" s="128"/>
      <c r="I1326" s="19" t="s">
        <v>268</v>
      </c>
      <c r="J1326" s="223"/>
    </row>
    <row r="1327" spans="1:10" s="144" customFormat="1" ht="12.75" x14ac:dyDescent="0.25">
      <c r="A1327" s="21">
        <v>525501726</v>
      </c>
      <c r="B1327" s="22" t="s">
        <v>2704</v>
      </c>
      <c r="C1327" s="10" t="s">
        <v>2701</v>
      </c>
      <c r="D1327" s="10" t="s">
        <v>2702</v>
      </c>
      <c r="E1327" s="10" t="s">
        <v>2703</v>
      </c>
      <c r="F1327" s="125"/>
      <c r="G1327" s="125"/>
      <c r="H1327" s="125"/>
      <c r="I1327" s="23" t="s">
        <v>39</v>
      </c>
      <c r="J1327" s="223"/>
    </row>
    <row r="1328" spans="1:10" s="144" customFormat="1" ht="12.75" x14ac:dyDescent="0.25">
      <c r="A1328" s="17">
        <v>373365000</v>
      </c>
      <c r="B1328" s="18" t="s">
        <v>2706</v>
      </c>
      <c r="C1328" s="125">
        <v>240</v>
      </c>
      <c r="D1328" s="125">
        <v>51905</v>
      </c>
      <c r="E1328" s="125">
        <v>13.7</v>
      </c>
      <c r="F1328" s="128"/>
      <c r="G1328" s="128"/>
      <c r="H1328" s="128"/>
      <c r="I1328" s="19" t="s">
        <v>154</v>
      </c>
      <c r="J1328" s="223"/>
    </row>
    <row r="1329" spans="1:10" s="144" customFormat="1" ht="12.75" x14ac:dyDescent="0.25">
      <c r="A1329" s="17">
        <v>312540000</v>
      </c>
      <c r="B1329" s="18" t="s">
        <v>2707</v>
      </c>
      <c r="C1329" s="125">
        <v>128</v>
      </c>
      <c r="D1329" s="125">
        <v>6663</v>
      </c>
      <c r="E1329" s="10" t="s">
        <v>91</v>
      </c>
      <c r="F1329" s="128"/>
      <c r="G1329" s="128"/>
      <c r="H1329" s="128"/>
      <c r="I1329" s="19" t="s">
        <v>3501</v>
      </c>
      <c r="J1329" s="223"/>
    </row>
    <row r="1330" spans="1:10" s="144" customFormat="1" ht="12.75" x14ac:dyDescent="0.25">
      <c r="A1330" s="17">
        <v>636023468</v>
      </c>
      <c r="B1330" s="127" t="s">
        <v>2708</v>
      </c>
      <c r="C1330" s="125">
        <v>183</v>
      </c>
      <c r="D1330" s="125">
        <v>29130</v>
      </c>
      <c r="E1330" s="125">
        <v>12.1</v>
      </c>
      <c r="F1330" s="128"/>
      <c r="G1330" s="128"/>
      <c r="H1330" s="128"/>
      <c r="I1330" s="19" t="s">
        <v>160</v>
      </c>
      <c r="J1330" s="223"/>
    </row>
    <row r="1331" spans="1:10" s="144" customFormat="1" ht="12.75" x14ac:dyDescent="0.25">
      <c r="A1331" s="17">
        <v>525012272</v>
      </c>
      <c r="B1331" s="18" t="s">
        <v>2709</v>
      </c>
      <c r="C1331" s="10" t="s">
        <v>2710</v>
      </c>
      <c r="D1331" s="10" t="s">
        <v>2711</v>
      </c>
      <c r="E1331" s="10" t="s">
        <v>2712</v>
      </c>
      <c r="F1331" s="128"/>
      <c r="G1331" s="128"/>
      <c r="H1331" s="128"/>
      <c r="I1331" s="19" t="s">
        <v>41</v>
      </c>
      <c r="J1331" s="223"/>
    </row>
    <row r="1332" spans="1:10" s="144" customFormat="1" ht="12.75" x14ac:dyDescent="0.25">
      <c r="A1332" s="17">
        <v>525006304</v>
      </c>
      <c r="B1332" s="18" t="s">
        <v>2713</v>
      </c>
      <c r="C1332" s="10" t="s">
        <v>2714</v>
      </c>
      <c r="D1332" s="10" t="s">
        <v>2715</v>
      </c>
      <c r="E1332" s="10" t="s">
        <v>1713</v>
      </c>
      <c r="F1332" s="128"/>
      <c r="G1332" s="128"/>
      <c r="H1332" s="128"/>
      <c r="I1332" s="19" t="s">
        <v>2096</v>
      </c>
      <c r="J1332" s="223"/>
    </row>
    <row r="1333" spans="1:10" s="144" customFormat="1" ht="12.75" x14ac:dyDescent="0.25">
      <c r="A1333" s="17">
        <v>525006200</v>
      </c>
      <c r="B1333" s="18" t="s">
        <v>2716</v>
      </c>
      <c r="C1333" s="10" t="s">
        <v>2717</v>
      </c>
      <c r="D1333" s="10" t="s">
        <v>2718</v>
      </c>
      <c r="E1333" s="10" t="s">
        <v>2719</v>
      </c>
      <c r="F1333" s="128"/>
      <c r="G1333" s="128"/>
      <c r="H1333" s="128"/>
      <c r="I1333" s="19" t="s">
        <v>46</v>
      </c>
      <c r="J1333" s="223"/>
    </row>
    <row r="1334" spans="1:10" s="144" customFormat="1" ht="12.75" x14ac:dyDescent="0.25">
      <c r="A1334" s="17">
        <v>352002778</v>
      </c>
      <c r="B1334" s="18" t="s">
        <v>2720</v>
      </c>
      <c r="C1334" s="125">
        <v>182</v>
      </c>
      <c r="D1334" s="125">
        <v>30128</v>
      </c>
      <c r="E1334" s="125">
        <v>10.4</v>
      </c>
      <c r="F1334" s="128"/>
      <c r="G1334" s="128"/>
      <c r="H1334" s="128"/>
      <c r="I1334" s="19" t="s">
        <v>160</v>
      </c>
      <c r="J1334" s="223"/>
    </row>
    <row r="1335" spans="1:10" s="144" customFormat="1" ht="12.75" x14ac:dyDescent="0.25">
      <c r="A1335" s="20">
        <v>525018257</v>
      </c>
      <c r="B1335" s="18" t="s">
        <v>2723</v>
      </c>
      <c r="C1335" s="7" t="s">
        <v>998</v>
      </c>
      <c r="D1335" s="7" t="s">
        <v>2721</v>
      </c>
      <c r="E1335" s="7" t="s">
        <v>2722</v>
      </c>
      <c r="F1335" s="128"/>
      <c r="G1335" s="128"/>
      <c r="H1335" s="128"/>
      <c r="I1335" s="19" t="s">
        <v>39</v>
      </c>
      <c r="J1335" s="223"/>
    </row>
    <row r="1336" spans="1:10" s="144" customFormat="1" ht="12.75" x14ac:dyDescent="0.25">
      <c r="A1336" s="17">
        <v>525016241</v>
      </c>
      <c r="B1336" s="18" t="s">
        <v>2724</v>
      </c>
      <c r="C1336" s="10" t="s">
        <v>2266</v>
      </c>
      <c r="D1336" s="10" t="s">
        <v>2726</v>
      </c>
      <c r="E1336" s="10" t="s">
        <v>2727</v>
      </c>
      <c r="F1336" s="128"/>
      <c r="G1336" s="128"/>
      <c r="H1336" s="128"/>
      <c r="I1336" s="19" t="s">
        <v>2725</v>
      </c>
      <c r="J1336" s="223"/>
    </row>
    <row r="1337" spans="1:10" s="144" customFormat="1" ht="12.75" x14ac:dyDescent="0.25">
      <c r="A1337" s="17">
        <v>525500043</v>
      </c>
      <c r="B1337" s="127" t="s">
        <v>2728</v>
      </c>
      <c r="C1337" s="125" t="s">
        <v>1983</v>
      </c>
      <c r="D1337" s="125" t="s">
        <v>2729</v>
      </c>
      <c r="E1337" s="10" t="s">
        <v>2730</v>
      </c>
      <c r="F1337" s="128"/>
      <c r="G1337" s="128"/>
      <c r="H1337" s="128"/>
      <c r="I1337" s="19" t="s">
        <v>39</v>
      </c>
      <c r="J1337" s="223"/>
    </row>
    <row r="1338" spans="1:10" s="144" customFormat="1" ht="12.75" x14ac:dyDescent="0.25">
      <c r="A1338" s="17">
        <v>525024237</v>
      </c>
      <c r="B1338" s="18" t="s">
        <v>2731</v>
      </c>
      <c r="C1338" s="10" t="s">
        <v>2422</v>
      </c>
      <c r="D1338" s="10" t="s">
        <v>2732</v>
      </c>
      <c r="E1338" s="10" t="s">
        <v>2733</v>
      </c>
      <c r="F1338" s="128"/>
      <c r="G1338" s="128"/>
      <c r="H1338" s="128"/>
      <c r="I1338" s="19" t="s">
        <v>920</v>
      </c>
      <c r="J1338" s="223"/>
    </row>
    <row r="1339" spans="1:10" s="144" customFormat="1" ht="12.75" x14ac:dyDescent="0.25">
      <c r="A1339" s="7">
        <v>525114048</v>
      </c>
      <c r="B1339" s="18" t="s">
        <v>2741</v>
      </c>
      <c r="C1339" s="125">
        <v>100</v>
      </c>
      <c r="D1339" s="125">
        <v>4029</v>
      </c>
      <c r="E1339" s="125">
        <v>5</v>
      </c>
      <c r="F1339" s="128"/>
      <c r="G1339" s="128"/>
      <c r="H1339" s="128"/>
      <c r="I1339" s="19" t="s">
        <v>96</v>
      </c>
      <c r="J1339" s="223"/>
    </row>
    <row r="1340" spans="1:10" s="144" customFormat="1" ht="12.75" x14ac:dyDescent="0.25">
      <c r="A1340" s="17">
        <v>356344000</v>
      </c>
      <c r="B1340" s="18" t="s">
        <v>2735</v>
      </c>
      <c r="C1340" s="125">
        <v>148</v>
      </c>
      <c r="D1340" s="125">
        <v>12840</v>
      </c>
      <c r="E1340" s="125">
        <v>5.5</v>
      </c>
      <c r="F1340" s="128"/>
      <c r="G1340" s="128"/>
      <c r="H1340" s="128"/>
      <c r="I1340" s="19" t="s">
        <v>262</v>
      </c>
      <c r="J1340" s="223"/>
    </row>
    <row r="1341" spans="1:10" s="144" customFormat="1" ht="12.75" x14ac:dyDescent="0.25">
      <c r="A1341" s="21">
        <v>525701006</v>
      </c>
      <c r="B1341" s="22" t="s">
        <v>2736</v>
      </c>
      <c r="C1341" s="10">
        <v>118</v>
      </c>
      <c r="D1341" s="10">
        <v>5510</v>
      </c>
      <c r="E1341" s="10" t="s">
        <v>851</v>
      </c>
      <c r="F1341" s="128"/>
      <c r="G1341" s="128"/>
      <c r="H1341" s="128"/>
      <c r="I1341" s="19" t="s">
        <v>45</v>
      </c>
      <c r="J1341" s="223"/>
    </row>
    <row r="1342" spans="1:10" s="144" customFormat="1" ht="12.75" x14ac:dyDescent="0.25">
      <c r="A1342" s="17">
        <v>477798500</v>
      </c>
      <c r="B1342" s="22" t="s">
        <v>2737</v>
      </c>
      <c r="C1342" s="10">
        <v>199</v>
      </c>
      <c r="D1342" s="10">
        <v>35812</v>
      </c>
      <c r="E1342" s="10">
        <v>12.5</v>
      </c>
      <c r="F1342" s="128"/>
      <c r="G1342" s="128"/>
      <c r="H1342" s="128"/>
      <c r="I1342" s="19" t="s">
        <v>273</v>
      </c>
      <c r="J1342" s="223"/>
    </row>
    <row r="1343" spans="1:10" s="144" customFormat="1" ht="12.75" x14ac:dyDescent="0.25">
      <c r="A1343" s="17">
        <v>431697000</v>
      </c>
      <c r="B1343" s="18" t="s">
        <v>2738</v>
      </c>
      <c r="C1343" s="125">
        <v>235</v>
      </c>
      <c r="D1343" s="125">
        <v>50628</v>
      </c>
      <c r="E1343" s="125">
        <v>7.59</v>
      </c>
      <c r="F1343" s="128"/>
      <c r="G1343" s="128"/>
      <c r="H1343" s="128"/>
      <c r="I1343" s="19" t="s">
        <v>154</v>
      </c>
      <c r="J1343" s="223"/>
    </row>
    <row r="1344" spans="1:10" s="144" customFormat="1" ht="12.75" x14ac:dyDescent="0.25">
      <c r="A1344" s="17">
        <v>525900120</v>
      </c>
      <c r="B1344" s="18" t="s">
        <v>2739</v>
      </c>
      <c r="C1344" s="125">
        <v>99</v>
      </c>
      <c r="D1344" s="125">
        <v>2836</v>
      </c>
      <c r="E1344" s="125">
        <v>2.5</v>
      </c>
      <c r="F1344" s="128"/>
      <c r="G1344" s="128"/>
      <c r="H1344" s="128"/>
      <c r="I1344" s="19" t="s">
        <v>2740</v>
      </c>
      <c r="J1344" s="223"/>
    </row>
    <row r="1345" spans="1:10" s="144" customFormat="1" ht="12.75" x14ac:dyDescent="0.25">
      <c r="A1345" s="21">
        <v>525021357</v>
      </c>
      <c r="B1345" s="22" t="s">
        <v>3650</v>
      </c>
      <c r="C1345" s="10" t="s">
        <v>3651</v>
      </c>
      <c r="D1345" s="10" t="s">
        <v>2778</v>
      </c>
      <c r="E1345" s="10" t="s">
        <v>1672</v>
      </c>
      <c r="F1345" s="125"/>
      <c r="G1345" s="125"/>
      <c r="H1345" s="125"/>
      <c r="I1345" s="23" t="s">
        <v>249</v>
      </c>
      <c r="J1345" s="223"/>
    </row>
    <row r="1346" spans="1:10" s="144" customFormat="1" ht="12.75" x14ac:dyDescent="0.25">
      <c r="A1346" s="17">
        <v>525002069</v>
      </c>
      <c r="B1346" s="18" t="s">
        <v>2743</v>
      </c>
      <c r="C1346" s="10">
        <v>124</v>
      </c>
      <c r="D1346" s="10">
        <v>6124</v>
      </c>
      <c r="E1346" s="10">
        <v>3.5</v>
      </c>
      <c r="F1346" s="128"/>
      <c r="G1346" s="128"/>
      <c r="H1346" s="128"/>
      <c r="I1346" s="19" t="s">
        <v>245</v>
      </c>
      <c r="J1346" s="223"/>
    </row>
    <row r="1347" spans="1:10" s="144" customFormat="1" ht="12.75" x14ac:dyDescent="0.25">
      <c r="A1347" s="17">
        <v>525601830</v>
      </c>
      <c r="B1347" s="22" t="s">
        <v>2747</v>
      </c>
      <c r="C1347" s="10" t="s">
        <v>2744</v>
      </c>
      <c r="D1347" s="10" t="s">
        <v>2745</v>
      </c>
      <c r="E1347" s="10" t="s">
        <v>2746</v>
      </c>
      <c r="F1347" s="128"/>
      <c r="G1347" s="128"/>
      <c r="H1347" s="128"/>
      <c r="I1347" s="19" t="s">
        <v>92</v>
      </c>
      <c r="J1347" s="223"/>
    </row>
    <row r="1348" spans="1:10" s="144" customFormat="1" ht="12.75" x14ac:dyDescent="0.25">
      <c r="A1348" s="17">
        <v>372895000</v>
      </c>
      <c r="B1348" s="18" t="s">
        <v>2748</v>
      </c>
      <c r="C1348" s="125">
        <v>229</v>
      </c>
      <c r="D1348" s="125">
        <v>43158</v>
      </c>
      <c r="E1348" s="125">
        <v>7.8</v>
      </c>
      <c r="F1348" s="128"/>
      <c r="G1348" s="128"/>
      <c r="H1348" s="128"/>
      <c r="I1348" s="19" t="s">
        <v>246</v>
      </c>
      <c r="J1348" s="223"/>
    </row>
    <row r="1349" spans="1:10" s="144" customFormat="1" ht="12.75" x14ac:dyDescent="0.25">
      <c r="A1349" s="17">
        <v>525104002</v>
      </c>
      <c r="B1349" s="18" t="s">
        <v>2749</v>
      </c>
      <c r="C1349" s="125">
        <v>90</v>
      </c>
      <c r="D1349" s="125">
        <v>2930</v>
      </c>
      <c r="E1349" s="125">
        <v>4.3</v>
      </c>
      <c r="F1349" s="128"/>
      <c r="G1349" s="128"/>
      <c r="H1349" s="128"/>
      <c r="I1349" s="19" t="s">
        <v>96</v>
      </c>
      <c r="J1349" s="223"/>
    </row>
    <row r="1350" spans="1:10" s="144" customFormat="1" ht="12.75" x14ac:dyDescent="0.25">
      <c r="A1350" s="17">
        <v>525601533</v>
      </c>
      <c r="B1350" s="127" t="s">
        <v>2750</v>
      </c>
      <c r="C1350" s="7" t="s">
        <v>2751</v>
      </c>
      <c r="D1350" s="7" t="s">
        <v>2752</v>
      </c>
      <c r="E1350" s="135" t="s">
        <v>2753</v>
      </c>
      <c r="F1350" s="128"/>
      <c r="G1350" s="128"/>
      <c r="H1350" s="128"/>
      <c r="I1350" s="19" t="s">
        <v>920</v>
      </c>
      <c r="J1350" s="223"/>
    </row>
    <row r="1351" spans="1:10" s="144" customFormat="1" ht="12.75" x14ac:dyDescent="0.25">
      <c r="A1351" s="21">
        <v>525301957</v>
      </c>
      <c r="B1351" s="22" t="s">
        <v>2754</v>
      </c>
      <c r="C1351" s="10" t="s">
        <v>2755</v>
      </c>
      <c r="D1351" s="10" t="s">
        <v>2756</v>
      </c>
      <c r="E1351" s="10" t="s">
        <v>2757</v>
      </c>
      <c r="F1351" s="125"/>
      <c r="G1351" s="125"/>
      <c r="H1351" s="125"/>
      <c r="I1351" s="23" t="s">
        <v>246</v>
      </c>
      <c r="J1351" s="223"/>
    </row>
    <row r="1352" spans="1:10" s="144" customFormat="1" ht="12.75" x14ac:dyDescent="0.25">
      <c r="A1352" s="17">
        <v>563141900</v>
      </c>
      <c r="B1352" s="18" t="s">
        <v>2758</v>
      </c>
      <c r="C1352" s="7">
        <v>229</v>
      </c>
      <c r="D1352" s="7">
        <v>42</v>
      </c>
      <c r="E1352" s="98" t="s">
        <v>2759</v>
      </c>
      <c r="F1352" s="128"/>
      <c r="G1352" s="128"/>
      <c r="H1352" s="128"/>
      <c r="I1352" s="19" t="s">
        <v>262</v>
      </c>
      <c r="J1352" s="223"/>
    </row>
    <row r="1353" spans="1:10" s="144" customFormat="1" ht="12.75" x14ac:dyDescent="0.25">
      <c r="A1353" s="17">
        <v>525020256</v>
      </c>
      <c r="B1353" s="18" t="s">
        <v>2760</v>
      </c>
      <c r="C1353" s="10" t="s">
        <v>1177</v>
      </c>
      <c r="D1353" s="10" t="s">
        <v>2761</v>
      </c>
      <c r="E1353" s="10" t="s">
        <v>2762</v>
      </c>
      <c r="F1353" s="128"/>
      <c r="G1353" s="128"/>
      <c r="H1353" s="128"/>
      <c r="I1353" s="19" t="s">
        <v>2096</v>
      </c>
      <c r="J1353" s="223"/>
    </row>
    <row r="1354" spans="1:10" s="144" customFormat="1" ht="12.75" x14ac:dyDescent="0.25">
      <c r="A1354" s="17">
        <v>636021082</v>
      </c>
      <c r="B1354" s="18" t="s">
        <v>2763</v>
      </c>
      <c r="C1354" s="125">
        <v>189</v>
      </c>
      <c r="D1354" s="125">
        <v>32354</v>
      </c>
      <c r="E1354" s="125">
        <v>12.5</v>
      </c>
      <c r="F1354" s="128"/>
      <c r="G1354" s="128"/>
      <c r="H1354" s="128"/>
      <c r="I1354" s="19" t="s">
        <v>262</v>
      </c>
      <c r="J1354" s="223"/>
    </row>
    <row r="1355" spans="1:10" s="144" customFormat="1" ht="12.75" x14ac:dyDescent="0.25">
      <c r="A1355" s="17">
        <v>372903000</v>
      </c>
      <c r="B1355" s="18" t="s">
        <v>2764</v>
      </c>
      <c r="C1355" s="125">
        <v>108</v>
      </c>
      <c r="D1355" s="125">
        <v>6204</v>
      </c>
      <c r="E1355" s="125">
        <v>8.6</v>
      </c>
      <c r="F1355" s="128"/>
      <c r="G1355" s="128"/>
      <c r="H1355" s="128"/>
      <c r="I1355" s="19" t="s">
        <v>1534</v>
      </c>
      <c r="J1355" s="223"/>
    </row>
    <row r="1356" spans="1:10" s="144" customFormat="1" ht="12.75" x14ac:dyDescent="0.25">
      <c r="A1356" s="7">
        <v>525024336</v>
      </c>
      <c r="B1356" s="136" t="s">
        <v>2768</v>
      </c>
      <c r="C1356" s="137" t="s">
        <v>2765</v>
      </c>
      <c r="D1356" s="137" t="s">
        <v>2766</v>
      </c>
      <c r="E1356" s="139" t="s">
        <v>2767</v>
      </c>
      <c r="F1356" s="137"/>
      <c r="G1356" s="137"/>
      <c r="H1356" s="137"/>
      <c r="I1356" s="138" t="s">
        <v>96</v>
      </c>
      <c r="J1356" s="223"/>
    </row>
    <row r="1357" spans="1:10" s="144" customFormat="1" ht="12.75" x14ac:dyDescent="0.25">
      <c r="A1357" s="21">
        <v>525121041</v>
      </c>
      <c r="B1357" s="22" t="s">
        <v>2769</v>
      </c>
      <c r="C1357" s="125">
        <v>115</v>
      </c>
      <c r="D1357" s="125">
        <v>551</v>
      </c>
      <c r="E1357" s="125">
        <v>5.6</v>
      </c>
      <c r="F1357" s="125"/>
      <c r="G1357" s="125"/>
      <c r="H1357" s="125"/>
      <c r="I1357" s="23" t="s">
        <v>39</v>
      </c>
      <c r="J1357" s="223"/>
    </row>
    <row r="1358" spans="1:10" s="144" customFormat="1" ht="12.75" x14ac:dyDescent="0.25">
      <c r="A1358" s="17">
        <v>525200110</v>
      </c>
      <c r="B1358" s="18" t="s">
        <v>2773</v>
      </c>
      <c r="C1358" s="10" t="s">
        <v>2770</v>
      </c>
      <c r="D1358" s="125" t="s">
        <v>2771</v>
      </c>
      <c r="E1358" s="125" t="s">
        <v>2772</v>
      </c>
      <c r="F1358" s="128"/>
      <c r="G1358" s="128"/>
      <c r="H1358" s="128"/>
      <c r="I1358" s="23" t="s">
        <v>39</v>
      </c>
      <c r="J1358" s="223"/>
    </row>
    <row r="1359" spans="1:10" s="144" customFormat="1" ht="12.75" x14ac:dyDescent="0.25">
      <c r="A1359" s="7">
        <v>525023188</v>
      </c>
      <c r="B1359" s="22" t="s">
        <v>2775</v>
      </c>
      <c r="C1359" s="10">
        <v>159</v>
      </c>
      <c r="D1359" s="10">
        <v>13350</v>
      </c>
      <c r="E1359" s="25" t="s">
        <v>794</v>
      </c>
      <c r="F1359" s="10"/>
      <c r="G1359" s="10"/>
      <c r="H1359" s="10"/>
      <c r="I1359" s="23" t="s">
        <v>96</v>
      </c>
      <c r="J1359" s="223"/>
    </row>
    <row r="1360" spans="1:10" s="144" customFormat="1" ht="12.75" x14ac:dyDescent="0.25">
      <c r="A1360" s="17">
        <v>538007082</v>
      </c>
      <c r="B1360" s="136" t="s">
        <v>2776</v>
      </c>
      <c r="C1360" s="137">
        <v>176</v>
      </c>
      <c r="D1360" s="137">
        <v>20867</v>
      </c>
      <c r="E1360" s="139">
        <v>7.2</v>
      </c>
      <c r="F1360" s="137"/>
      <c r="G1360" s="137"/>
      <c r="H1360" s="137"/>
      <c r="I1360" s="138" t="s">
        <v>43</v>
      </c>
      <c r="J1360" s="223"/>
    </row>
    <row r="1361" spans="1:10" s="144" customFormat="1" ht="12.75" x14ac:dyDescent="0.25">
      <c r="A1361" s="17">
        <v>525201853</v>
      </c>
      <c r="B1361" s="136" t="s">
        <v>2777</v>
      </c>
      <c r="C1361" s="137">
        <v>96</v>
      </c>
      <c r="D1361" s="137">
        <v>2954</v>
      </c>
      <c r="E1361" s="139">
        <v>5.4</v>
      </c>
      <c r="F1361" s="137"/>
      <c r="G1361" s="137"/>
      <c r="H1361" s="137"/>
      <c r="I1361" s="138" t="s">
        <v>96</v>
      </c>
      <c r="J1361" s="223"/>
    </row>
    <row r="1362" spans="1:10" s="144" customFormat="1" ht="12.75" x14ac:dyDescent="0.25">
      <c r="A1362" s="24">
        <v>525201398</v>
      </c>
      <c r="B1362" s="136" t="s">
        <v>2779</v>
      </c>
      <c r="C1362" s="137" t="s">
        <v>2780</v>
      </c>
      <c r="D1362" s="137" t="s">
        <v>878</v>
      </c>
      <c r="E1362" s="137" t="s">
        <v>2781</v>
      </c>
      <c r="F1362" s="137"/>
      <c r="G1362" s="137"/>
      <c r="H1362" s="137"/>
      <c r="I1362" s="138" t="s">
        <v>46</v>
      </c>
      <c r="J1362" s="223"/>
    </row>
    <row r="1363" spans="1:10" s="144" customFormat="1" ht="12.75" x14ac:dyDescent="0.25">
      <c r="A1363" s="17">
        <v>412416072</v>
      </c>
      <c r="B1363" s="136" t="s">
        <v>2782</v>
      </c>
      <c r="C1363" s="7">
        <v>38</v>
      </c>
      <c r="D1363" s="7">
        <v>382</v>
      </c>
      <c r="E1363" s="98" t="s">
        <v>2783</v>
      </c>
      <c r="F1363" s="137"/>
      <c r="G1363" s="137"/>
      <c r="H1363" s="137"/>
      <c r="I1363" s="138" t="s">
        <v>1895</v>
      </c>
      <c r="J1363" s="223"/>
    </row>
    <row r="1364" spans="1:10" s="144" customFormat="1" ht="12.75" x14ac:dyDescent="0.25">
      <c r="A1364" s="7">
        <v>525600466</v>
      </c>
      <c r="B1364" s="136" t="s">
        <v>2784</v>
      </c>
      <c r="C1364" s="137">
        <v>54</v>
      </c>
      <c r="D1364" s="137">
        <v>499</v>
      </c>
      <c r="E1364" s="139">
        <v>3.4</v>
      </c>
      <c r="F1364" s="137"/>
      <c r="G1364" s="137"/>
      <c r="H1364" s="137"/>
      <c r="I1364" s="138" t="s">
        <v>260</v>
      </c>
      <c r="J1364" s="223"/>
    </row>
    <row r="1365" spans="1:10" s="144" customFormat="1" ht="12.75" x14ac:dyDescent="0.25">
      <c r="A1365" s="17">
        <v>525021375</v>
      </c>
      <c r="B1365" s="136" t="s">
        <v>2785</v>
      </c>
      <c r="C1365" s="137" t="s">
        <v>920</v>
      </c>
      <c r="D1365" s="137" t="s">
        <v>920</v>
      </c>
      <c r="E1365" s="137" t="s">
        <v>920</v>
      </c>
      <c r="F1365" s="137"/>
      <c r="G1365" s="137"/>
      <c r="H1365" s="137"/>
      <c r="I1365" s="138" t="s">
        <v>42</v>
      </c>
      <c r="J1365" s="223"/>
    </row>
    <row r="1366" spans="1:10" s="144" customFormat="1" ht="12.75" x14ac:dyDescent="0.25">
      <c r="A1366" s="17">
        <v>525121033</v>
      </c>
      <c r="B1366" s="136" t="s">
        <v>2786</v>
      </c>
      <c r="C1366" s="137">
        <v>96</v>
      </c>
      <c r="D1366" s="137">
        <v>3322</v>
      </c>
      <c r="E1366" s="139">
        <v>5.4</v>
      </c>
      <c r="F1366" s="137"/>
      <c r="G1366" s="137"/>
      <c r="H1366" s="137"/>
      <c r="I1366" s="138" t="s">
        <v>96</v>
      </c>
      <c r="J1366" s="223"/>
    </row>
    <row r="1367" spans="1:10" s="144" customFormat="1" ht="12.75" x14ac:dyDescent="0.25">
      <c r="A1367" s="17">
        <v>525121015</v>
      </c>
      <c r="B1367" s="136" t="s">
        <v>2787</v>
      </c>
      <c r="C1367" s="137">
        <v>96</v>
      </c>
      <c r="D1367" s="137">
        <v>3157</v>
      </c>
      <c r="E1367" s="25" t="s">
        <v>794</v>
      </c>
      <c r="F1367" s="137"/>
      <c r="G1367" s="137"/>
      <c r="H1367" s="137"/>
      <c r="I1367" s="138" t="s">
        <v>96</v>
      </c>
      <c r="J1367" s="223"/>
    </row>
    <row r="1368" spans="1:10" s="144" customFormat="1" ht="12.75" x14ac:dyDescent="0.25">
      <c r="A1368" s="17">
        <v>44798</v>
      </c>
      <c r="B1368" s="136" t="s">
        <v>2788</v>
      </c>
      <c r="C1368" s="137">
        <v>166</v>
      </c>
      <c r="D1368" s="137">
        <v>19232</v>
      </c>
      <c r="E1368" s="139">
        <v>6.6</v>
      </c>
      <c r="F1368" s="137"/>
      <c r="G1368" s="137"/>
      <c r="H1368" s="137"/>
      <c r="I1368" s="138" t="s">
        <v>48</v>
      </c>
      <c r="J1368" s="223"/>
    </row>
    <row r="1369" spans="1:10" s="144" customFormat="1" ht="12.75" x14ac:dyDescent="0.25">
      <c r="A1369" s="7">
        <v>563231300</v>
      </c>
      <c r="B1369" s="136" t="s">
        <v>2789</v>
      </c>
      <c r="C1369" s="137">
        <v>128</v>
      </c>
      <c r="D1369" s="137">
        <v>9813</v>
      </c>
      <c r="E1369" s="139">
        <v>9.5</v>
      </c>
      <c r="F1369" s="137"/>
      <c r="G1369" s="137"/>
      <c r="H1369" s="137"/>
      <c r="I1369" s="138" t="s">
        <v>262</v>
      </c>
      <c r="J1369" s="223"/>
    </row>
    <row r="1370" spans="1:10" s="144" customFormat="1" ht="12.75" x14ac:dyDescent="0.25">
      <c r="A1370" s="7">
        <v>525501681</v>
      </c>
      <c r="B1370" s="136" t="s">
        <v>2790</v>
      </c>
      <c r="C1370" s="137" t="s">
        <v>905</v>
      </c>
      <c r="D1370" s="137" t="s">
        <v>2791</v>
      </c>
      <c r="E1370" s="139" t="s">
        <v>1293</v>
      </c>
      <c r="F1370" s="137"/>
      <c r="G1370" s="137"/>
      <c r="H1370" s="137"/>
      <c r="I1370" s="138" t="s">
        <v>1663</v>
      </c>
      <c r="J1370" s="223"/>
    </row>
    <row r="1371" spans="1:10" s="144" customFormat="1" ht="12.75" x14ac:dyDescent="0.25">
      <c r="A1371" s="7">
        <v>533131126</v>
      </c>
      <c r="B1371" s="136" t="s">
        <v>2792</v>
      </c>
      <c r="C1371" s="137">
        <v>186</v>
      </c>
      <c r="D1371" s="137">
        <v>26634</v>
      </c>
      <c r="E1371" s="139">
        <v>7.5</v>
      </c>
      <c r="F1371" s="137"/>
      <c r="G1371" s="137"/>
      <c r="H1371" s="137"/>
      <c r="I1371" s="138" t="s">
        <v>2798</v>
      </c>
      <c r="J1371" s="223"/>
    </row>
    <row r="1372" spans="1:10" s="144" customFormat="1" ht="12.75" x14ac:dyDescent="0.25">
      <c r="A1372" s="207">
        <v>525500329</v>
      </c>
      <c r="B1372" s="208" t="s">
        <v>2793</v>
      </c>
      <c r="C1372" s="209">
        <v>120</v>
      </c>
      <c r="D1372" s="209">
        <v>47025</v>
      </c>
      <c r="E1372" s="213">
        <v>6.23</v>
      </c>
      <c r="F1372" s="209"/>
      <c r="G1372" s="209"/>
      <c r="H1372" s="209"/>
      <c r="I1372" s="209" t="s">
        <v>2398</v>
      </c>
      <c r="J1372" s="223"/>
    </row>
    <row r="1373" spans="1:10" s="144" customFormat="1" ht="12.75" x14ac:dyDescent="0.25">
      <c r="A1373" s="87">
        <v>525300196</v>
      </c>
      <c r="B1373" s="211" t="s">
        <v>2794</v>
      </c>
      <c r="C1373" s="212" t="s">
        <v>2795</v>
      </c>
      <c r="D1373" s="212" t="s">
        <v>2796</v>
      </c>
      <c r="E1373" s="214" t="s">
        <v>2797</v>
      </c>
      <c r="F1373" s="212"/>
      <c r="G1373" s="212"/>
      <c r="H1373" s="212"/>
      <c r="I1373" s="212" t="s">
        <v>65</v>
      </c>
      <c r="J1373" s="223"/>
    </row>
    <row r="1374" spans="1:10" s="144" customFormat="1" ht="12.75" x14ac:dyDescent="0.25">
      <c r="A1374" s="207">
        <v>525701760</v>
      </c>
      <c r="B1374" s="208" t="s">
        <v>3591</v>
      </c>
      <c r="C1374" s="209" t="s">
        <v>3592</v>
      </c>
      <c r="D1374" s="209" t="s">
        <v>3593</v>
      </c>
      <c r="E1374" s="213" t="s">
        <v>3327</v>
      </c>
      <c r="F1374" s="209"/>
      <c r="G1374" s="209"/>
      <c r="H1374" s="209"/>
      <c r="I1374" s="209" t="s">
        <v>150</v>
      </c>
      <c r="J1374" s="223"/>
    </row>
    <row r="1375" spans="1:10" s="144" customFormat="1" ht="12.75" x14ac:dyDescent="0.25">
      <c r="A1375" s="210">
        <v>636022683</v>
      </c>
      <c r="B1375" s="211" t="s">
        <v>2799</v>
      </c>
      <c r="C1375" s="212">
        <v>229</v>
      </c>
      <c r="D1375" s="212">
        <v>51255</v>
      </c>
      <c r="E1375" s="214">
        <v>9.1</v>
      </c>
      <c r="F1375" s="212"/>
      <c r="G1375" s="212"/>
      <c r="H1375" s="212"/>
      <c r="I1375" s="212" t="s">
        <v>2800</v>
      </c>
      <c r="J1375" s="223"/>
    </row>
    <row r="1376" spans="1:10" s="144" customFormat="1" ht="12.75" x14ac:dyDescent="0.25">
      <c r="A1376" s="207">
        <v>352003847</v>
      </c>
      <c r="B1376" s="208" t="s">
        <v>2801</v>
      </c>
      <c r="C1376" s="209">
        <v>189</v>
      </c>
      <c r="D1376" s="209">
        <v>29961</v>
      </c>
      <c r="E1376" s="213">
        <v>12.3</v>
      </c>
      <c r="F1376" s="209"/>
      <c r="G1376" s="209"/>
      <c r="H1376" s="209"/>
      <c r="I1376" s="209" t="s">
        <v>273</v>
      </c>
      <c r="J1376" s="223"/>
    </row>
    <row r="1377" spans="1:10" s="144" customFormat="1" ht="12.75" x14ac:dyDescent="0.25">
      <c r="A1377" s="210">
        <v>255915713</v>
      </c>
      <c r="B1377" s="211" t="s">
        <v>2802</v>
      </c>
      <c r="C1377" s="212">
        <v>84</v>
      </c>
      <c r="D1377" s="212">
        <v>5218</v>
      </c>
      <c r="E1377" s="214">
        <v>4.5</v>
      </c>
      <c r="F1377" s="212"/>
      <c r="G1377" s="212"/>
      <c r="H1377" s="212"/>
      <c r="I1377" s="212" t="s">
        <v>71</v>
      </c>
      <c r="J1377" s="223"/>
    </row>
    <row r="1378" spans="1:10" s="144" customFormat="1" ht="12.75" x14ac:dyDescent="0.25">
      <c r="A1378" s="140">
        <v>525119099</v>
      </c>
      <c r="B1378" s="208" t="s">
        <v>2803</v>
      </c>
      <c r="C1378" s="209">
        <v>159</v>
      </c>
      <c r="D1378" s="209">
        <v>13110</v>
      </c>
      <c r="E1378" s="213" t="s">
        <v>955</v>
      </c>
      <c r="F1378" s="209"/>
      <c r="G1378" s="209"/>
      <c r="H1378" s="209"/>
      <c r="I1378" s="209" t="s">
        <v>96</v>
      </c>
      <c r="J1378" s="223"/>
    </row>
    <row r="1379" spans="1:10" s="144" customFormat="1" ht="12.75" x14ac:dyDescent="0.25">
      <c r="A1379" s="87">
        <v>525501565</v>
      </c>
      <c r="B1379" s="211" t="s">
        <v>2804</v>
      </c>
      <c r="C1379" s="212" t="s">
        <v>2805</v>
      </c>
      <c r="D1379" s="212" t="s">
        <v>2806</v>
      </c>
      <c r="E1379" s="214" t="s">
        <v>2807</v>
      </c>
      <c r="F1379" s="212"/>
      <c r="G1379" s="212"/>
      <c r="H1379" s="212"/>
      <c r="I1379" s="212" t="s">
        <v>39</v>
      </c>
      <c r="J1379" s="223"/>
    </row>
    <row r="1380" spans="1:10" s="144" customFormat="1" ht="12.75" x14ac:dyDescent="0.25">
      <c r="A1380" s="21">
        <v>525200086</v>
      </c>
      <c r="B1380" s="141" t="s">
        <v>2835</v>
      </c>
      <c r="C1380" s="142" t="s">
        <v>2836</v>
      </c>
      <c r="D1380" s="142" t="s">
        <v>2837</v>
      </c>
      <c r="E1380" s="215" t="s">
        <v>2838</v>
      </c>
      <c r="F1380" s="142"/>
      <c r="G1380" s="142"/>
      <c r="H1380" s="142"/>
      <c r="I1380" s="143" t="s">
        <v>262</v>
      </c>
      <c r="J1380" s="223"/>
    </row>
    <row r="1381" spans="1:10" s="144" customFormat="1" ht="12.75" x14ac:dyDescent="0.25">
      <c r="A1381" s="21">
        <v>538007951</v>
      </c>
      <c r="B1381" s="141" t="s">
        <v>2839</v>
      </c>
      <c r="C1381" s="142">
        <v>229</v>
      </c>
      <c r="D1381" s="142">
        <v>44132</v>
      </c>
      <c r="E1381" s="145">
        <v>12.3</v>
      </c>
      <c r="F1381" s="142"/>
      <c r="G1381" s="142"/>
      <c r="H1381" s="142"/>
      <c r="I1381" s="143" t="s">
        <v>71</v>
      </c>
      <c r="J1381" s="223"/>
    </row>
    <row r="1382" spans="1:10" s="144" customFormat="1" ht="12.75" x14ac:dyDescent="0.25">
      <c r="A1382" s="140">
        <v>525600515</v>
      </c>
      <c r="B1382" s="141" t="s">
        <v>2842</v>
      </c>
      <c r="C1382" s="142">
        <v>71.13</v>
      </c>
      <c r="D1382" s="142">
        <v>1236</v>
      </c>
      <c r="E1382" s="145">
        <v>3.6</v>
      </c>
      <c r="F1382" s="142"/>
      <c r="G1382" s="142"/>
      <c r="H1382" s="142"/>
      <c r="I1382" s="143" t="s">
        <v>2398</v>
      </c>
      <c r="J1382" s="223"/>
    </row>
    <row r="1383" spans="1:10" s="144" customFormat="1" ht="12.75" x14ac:dyDescent="0.25">
      <c r="A1383" s="7">
        <v>525800833</v>
      </c>
      <c r="B1383" s="22" t="s">
        <v>2843</v>
      </c>
      <c r="C1383" s="10" t="s">
        <v>2844</v>
      </c>
      <c r="D1383" s="10" t="s">
        <v>2845</v>
      </c>
      <c r="E1383" s="30" t="s">
        <v>2846</v>
      </c>
      <c r="F1383" s="137"/>
      <c r="G1383" s="137"/>
      <c r="H1383" s="137"/>
      <c r="I1383" s="23" t="s">
        <v>46</v>
      </c>
      <c r="J1383" s="223"/>
    </row>
    <row r="1384" spans="1:10" s="144" customFormat="1" ht="12.75" x14ac:dyDescent="0.25">
      <c r="A1384" s="7">
        <v>525107014</v>
      </c>
      <c r="B1384" s="141" t="s">
        <v>2847</v>
      </c>
      <c r="C1384" s="142">
        <v>100</v>
      </c>
      <c r="D1384" s="142">
        <v>3506</v>
      </c>
      <c r="E1384" s="145">
        <v>5.0999999999999996</v>
      </c>
      <c r="F1384" s="142"/>
      <c r="G1384" s="142"/>
      <c r="H1384" s="142"/>
      <c r="I1384" s="143" t="s">
        <v>96</v>
      </c>
      <c r="J1384" s="223"/>
    </row>
    <row r="1385" spans="1:10" s="144" customFormat="1" ht="12.75" x14ac:dyDescent="0.25">
      <c r="A1385" s="140">
        <v>525800871</v>
      </c>
      <c r="B1385" s="141" t="s">
        <v>2848</v>
      </c>
      <c r="C1385" s="142">
        <v>179</v>
      </c>
      <c r="D1385" s="142">
        <v>19910</v>
      </c>
      <c r="E1385" s="145">
        <v>5</v>
      </c>
      <c r="F1385" s="142"/>
      <c r="G1385" s="142"/>
      <c r="H1385" s="142"/>
      <c r="I1385" s="143" t="s">
        <v>249</v>
      </c>
      <c r="J1385" s="223"/>
    </row>
    <row r="1386" spans="1:10" s="144" customFormat="1" ht="12.75" x14ac:dyDescent="0.25">
      <c r="A1386" s="140">
        <v>525910120</v>
      </c>
      <c r="B1386" s="22" t="s">
        <v>2849</v>
      </c>
      <c r="C1386" s="142">
        <v>99</v>
      </c>
      <c r="D1386" s="142">
        <v>2836</v>
      </c>
      <c r="E1386" s="145">
        <v>2.5</v>
      </c>
      <c r="F1386" s="142"/>
      <c r="G1386" s="142"/>
      <c r="H1386" s="142"/>
      <c r="I1386" s="143"/>
      <c r="J1386" s="223"/>
    </row>
    <row r="1387" spans="1:10" s="144" customFormat="1" ht="12.75" x14ac:dyDescent="0.25">
      <c r="A1387" s="7">
        <v>524024250</v>
      </c>
      <c r="B1387" s="141" t="s">
        <v>2850</v>
      </c>
      <c r="C1387" s="142">
        <v>76</v>
      </c>
      <c r="D1387" s="142">
        <v>1453</v>
      </c>
      <c r="E1387" s="145">
        <v>6</v>
      </c>
      <c r="F1387" s="142"/>
      <c r="G1387" s="142"/>
      <c r="H1387" s="142"/>
      <c r="I1387" s="143" t="s">
        <v>2398</v>
      </c>
      <c r="J1387" s="223"/>
    </row>
    <row r="1388" spans="1:10" s="144" customFormat="1" ht="12.75" x14ac:dyDescent="0.25">
      <c r="A1388" s="7">
        <v>538007120</v>
      </c>
      <c r="B1388" s="141" t="s">
        <v>2851</v>
      </c>
      <c r="C1388" s="142">
        <v>180</v>
      </c>
      <c r="D1388" s="142">
        <v>20867</v>
      </c>
      <c r="E1388" s="145">
        <v>10</v>
      </c>
      <c r="F1388" s="142"/>
      <c r="G1388" s="142"/>
      <c r="H1388" s="142"/>
      <c r="I1388" s="143" t="s">
        <v>150</v>
      </c>
      <c r="J1388" s="223"/>
    </row>
    <row r="1389" spans="1:10" s="144" customFormat="1" ht="12.75" x14ac:dyDescent="0.25">
      <c r="A1389" s="7">
        <v>525400431</v>
      </c>
      <c r="B1389" s="141" t="s">
        <v>2852</v>
      </c>
      <c r="C1389" s="142" t="s">
        <v>2853</v>
      </c>
      <c r="D1389" s="142" t="s">
        <v>2854</v>
      </c>
      <c r="E1389" s="145" t="s">
        <v>2855</v>
      </c>
      <c r="F1389" s="142"/>
      <c r="G1389" s="142"/>
      <c r="H1389" s="142"/>
      <c r="I1389" s="143" t="s">
        <v>2304</v>
      </c>
      <c r="J1389" s="223"/>
    </row>
    <row r="1390" spans="1:10" s="144" customFormat="1" ht="12.75" x14ac:dyDescent="0.25">
      <c r="A1390" s="7">
        <v>525012231</v>
      </c>
      <c r="B1390" s="141" t="s">
        <v>2856</v>
      </c>
      <c r="C1390" s="142" t="s">
        <v>2857</v>
      </c>
      <c r="D1390" s="142" t="s">
        <v>2858</v>
      </c>
      <c r="E1390" s="145" t="s">
        <v>2859</v>
      </c>
      <c r="F1390" s="142"/>
      <c r="G1390" s="142"/>
      <c r="H1390" s="142"/>
      <c r="I1390" s="143" t="s">
        <v>2860</v>
      </c>
      <c r="J1390" s="223"/>
    </row>
    <row r="1391" spans="1:10" s="144" customFormat="1" ht="12.75" x14ac:dyDescent="0.25">
      <c r="A1391" s="87">
        <v>525701087</v>
      </c>
      <c r="B1391" s="22" t="s">
        <v>5353</v>
      </c>
      <c r="C1391" s="142">
        <v>123</v>
      </c>
      <c r="D1391" s="142">
        <v>6823</v>
      </c>
      <c r="E1391" s="25" t="s">
        <v>178</v>
      </c>
      <c r="F1391" s="142"/>
      <c r="G1391" s="142"/>
      <c r="H1391" s="142"/>
      <c r="I1391" s="23" t="s">
        <v>1707</v>
      </c>
      <c r="J1391" s="223"/>
    </row>
    <row r="1392" spans="1:10" s="144" customFormat="1" ht="12.75" x14ac:dyDescent="0.25">
      <c r="A1392" s="7">
        <v>525015936</v>
      </c>
      <c r="B1392" s="141" t="s">
        <v>2861</v>
      </c>
      <c r="C1392" s="142" t="s">
        <v>2862</v>
      </c>
      <c r="D1392" s="142" t="s">
        <v>2863</v>
      </c>
      <c r="E1392" s="145" t="s">
        <v>1685</v>
      </c>
      <c r="F1392" s="142"/>
      <c r="G1392" s="142"/>
      <c r="H1392" s="142"/>
      <c r="I1392" s="143" t="s">
        <v>46</v>
      </c>
      <c r="J1392" s="223"/>
    </row>
    <row r="1393" spans="1:10" s="144" customFormat="1" ht="12.75" x14ac:dyDescent="0.25">
      <c r="A1393" s="7">
        <v>636021358</v>
      </c>
      <c r="B1393" s="141" t="s">
        <v>2864</v>
      </c>
      <c r="C1393" s="142">
        <v>183</v>
      </c>
      <c r="D1393" s="142">
        <v>29496</v>
      </c>
      <c r="E1393" s="145">
        <v>10.199999999999999</v>
      </c>
      <c r="F1393" s="142"/>
      <c r="G1393" s="142"/>
      <c r="H1393" s="142"/>
      <c r="I1393" s="143" t="s">
        <v>2096</v>
      </c>
      <c r="J1393" s="223"/>
    </row>
    <row r="1394" spans="1:10" s="144" customFormat="1" ht="12.75" x14ac:dyDescent="0.25">
      <c r="A1394" s="7">
        <v>525124589</v>
      </c>
      <c r="B1394" s="141" t="s">
        <v>2865</v>
      </c>
      <c r="C1394" s="142">
        <v>45</v>
      </c>
      <c r="D1394" s="142">
        <v>300</v>
      </c>
      <c r="E1394" s="145">
        <v>2.4</v>
      </c>
      <c r="F1394" s="142"/>
      <c r="G1394" s="142"/>
      <c r="H1394" s="142"/>
      <c r="I1394" s="143" t="s">
        <v>2866</v>
      </c>
      <c r="J1394" s="223"/>
    </row>
    <row r="1395" spans="1:10" s="144" customFormat="1" ht="12.75" x14ac:dyDescent="0.25">
      <c r="A1395" s="7">
        <v>525200942</v>
      </c>
      <c r="B1395" s="141" t="s">
        <v>2867</v>
      </c>
      <c r="C1395" s="142">
        <v>80</v>
      </c>
      <c r="D1395" s="142">
        <v>1610</v>
      </c>
      <c r="E1395" s="145">
        <v>3.5</v>
      </c>
      <c r="F1395" s="142"/>
      <c r="G1395" s="142"/>
      <c r="H1395" s="142"/>
      <c r="I1395" s="143" t="s">
        <v>2868</v>
      </c>
      <c r="J1395" s="223"/>
    </row>
    <row r="1396" spans="1:10" s="144" customFormat="1" ht="12.75" x14ac:dyDescent="0.25">
      <c r="A1396" s="7">
        <v>525003183</v>
      </c>
      <c r="B1396" s="141" t="s">
        <v>2870</v>
      </c>
      <c r="C1396" s="142" t="s">
        <v>2871</v>
      </c>
      <c r="D1396" s="142" t="s">
        <v>2872</v>
      </c>
      <c r="E1396" s="145"/>
      <c r="F1396" s="142"/>
      <c r="G1396" s="142"/>
      <c r="H1396" s="142"/>
      <c r="I1396" s="143" t="s">
        <v>150</v>
      </c>
      <c r="J1396" s="223"/>
    </row>
    <row r="1397" spans="1:10" s="144" customFormat="1" ht="12.75" x14ac:dyDescent="0.25">
      <c r="A1397" s="206">
        <v>525500508</v>
      </c>
      <c r="B1397" s="141" t="s">
        <v>2873</v>
      </c>
      <c r="C1397" s="142" t="s">
        <v>2874</v>
      </c>
      <c r="D1397" s="142" t="s">
        <v>2875</v>
      </c>
      <c r="E1397" s="215" t="s">
        <v>2876</v>
      </c>
      <c r="F1397" s="142"/>
      <c r="G1397" s="142"/>
      <c r="H1397" s="142"/>
      <c r="I1397" s="143" t="s">
        <v>39</v>
      </c>
      <c r="J1397" s="223"/>
    </row>
    <row r="1398" spans="1:10" s="144" customFormat="1" ht="12.75" x14ac:dyDescent="0.25">
      <c r="A1398" s="7">
        <v>538009426</v>
      </c>
      <c r="B1398" s="22" t="s">
        <v>2877</v>
      </c>
      <c r="C1398" s="137">
        <v>229</v>
      </c>
      <c r="D1398" s="137">
        <v>43671</v>
      </c>
      <c r="E1398" s="139">
        <v>10</v>
      </c>
      <c r="F1398" s="137"/>
      <c r="G1398" s="137"/>
      <c r="H1398" s="137"/>
      <c r="I1398" s="23" t="s">
        <v>71</v>
      </c>
      <c r="J1398" s="223"/>
    </row>
    <row r="1399" spans="1:10" s="144" customFormat="1" ht="12.75" x14ac:dyDescent="0.25">
      <c r="A1399" s="7">
        <v>255806459</v>
      </c>
      <c r="B1399" s="141" t="s">
        <v>2878</v>
      </c>
      <c r="C1399" s="142">
        <v>244</v>
      </c>
      <c r="D1399" s="142">
        <v>38332</v>
      </c>
      <c r="E1399" s="145">
        <v>11.7</v>
      </c>
      <c r="F1399" s="142"/>
      <c r="G1399" s="142"/>
      <c r="H1399" s="142"/>
      <c r="I1399" s="143" t="s">
        <v>1051</v>
      </c>
      <c r="J1399" s="223"/>
    </row>
    <row r="1400" spans="1:10" s="144" customFormat="1" ht="12.75" x14ac:dyDescent="0.25">
      <c r="A1400" s="206">
        <v>413576520</v>
      </c>
      <c r="B1400" s="141" t="s">
        <v>2879</v>
      </c>
      <c r="C1400" s="142">
        <v>140</v>
      </c>
      <c r="D1400" s="142">
        <v>5940</v>
      </c>
      <c r="E1400" s="145">
        <v>6.5</v>
      </c>
      <c r="F1400" s="142"/>
      <c r="G1400" s="142"/>
      <c r="H1400" s="142"/>
      <c r="I1400" s="143" t="s">
        <v>160</v>
      </c>
      <c r="J1400" s="223"/>
    </row>
    <row r="1401" spans="1:10" s="144" customFormat="1" ht="12.75" x14ac:dyDescent="0.25">
      <c r="A1401" s="7">
        <v>525016248</v>
      </c>
      <c r="B1401" s="22" t="s">
        <v>3530</v>
      </c>
      <c r="C1401" s="10" t="s">
        <v>684</v>
      </c>
      <c r="D1401" s="10" t="s">
        <v>3531</v>
      </c>
      <c r="E1401" s="30" t="s">
        <v>3532</v>
      </c>
      <c r="F1401" s="142"/>
      <c r="G1401" s="142"/>
      <c r="H1401" s="142"/>
      <c r="I1401" s="143" t="s">
        <v>92</v>
      </c>
      <c r="J1401" s="223"/>
    </row>
    <row r="1402" spans="1:10" s="144" customFormat="1" ht="12.75" x14ac:dyDescent="0.25">
      <c r="A1402" s="7">
        <v>525500790</v>
      </c>
      <c r="B1402" s="141" t="s">
        <v>2880</v>
      </c>
      <c r="C1402" s="142">
        <v>30</v>
      </c>
      <c r="D1402" s="142">
        <v>176</v>
      </c>
      <c r="E1402" s="145">
        <v>1.2</v>
      </c>
      <c r="F1402" s="142"/>
      <c r="G1402" s="142"/>
      <c r="H1402" s="142"/>
      <c r="I1402" s="143" t="s">
        <v>2620</v>
      </c>
      <c r="J1402" s="223"/>
    </row>
    <row r="1403" spans="1:10" s="144" customFormat="1" ht="12.75" x14ac:dyDescent="0.25">
      <c r="A1403" s="7">
        <v>525022393</v>
      </c>
      <c r="B1403" s="141" t="s">
        <v>2881</v>
      </c>
      <c r="C1403" s="142">
        <v>81</v>
      </c>
      <c r="D1403" s="142">
        <v>2202</v>
      </c>
      <c r="E1403" s="145">
        <v>2.5</v>
      </c>
      <c r="F1403" s="142"/>
      <c r="G1403" s="142"/>
      <c r="H1403" s="142"/>
      <c r="I1403" s="143" t="s">
        <v>39</v>
      </c>
      <c r="J1403" s="223"/>
    </row>
    <row r="1404" spans="1:10" s="144" customFormat="1" ht="12.75" x14ac:dyDescent="0.25">
      <c r="A1404" s="7">
        <v>525119107</v>
      </c>
      <c r="B1404" s="141" t="s">
        <v>2882</v>
      </c>
      <c r="C1404" s="142">
        <v>143</v>
      </c>
      <c r="D1404" s="142">
        <v>11321</v>
      </c>
      <c r="E1404" s="25" t="s">
        <v>1221</v>
      </c>
      <c r="F1404" s="142"/>
      <c r="G1404" s="142"/>
      <c r="H1404" s="142"/>
      <c r="I1404" s="143" t="s">
        <v>96</v>
      </c>
      <c r="J1404" s="223"/>
    </row>
    <row r="1405" spans="1:10" s="144" customFormat="1" ht="12.75" x14ac:dyDescent="0.25">
      <c r="A1405" s="21">
        <v>525601024</v>
      </c>
      <c r="B1405" s="141" t="s">
        <v>2883</v>
      </c>
      <c r="C1405" s="142">
        <v>87</v>
      </c>
      <c r="D1405" s="142">
        <v>3115</v>
      </c>
      <c r="E1405" s="25" t="s">
        <v>764</v>
      </c>
      <c r="F1405" s="142"/>
      <c r="G1405" s="142"/>
      <c r="H1405" s="142"/>
      <c r="I1405" s="23" t="s">
        <v>1534</v>
      </c>
      <c r="J1405" s="223"/>
    </row>
    <row r="1406" spans="1:10" s="144" customFormat="1" ht="12.75" x14ac:dyDescent="0.25">
      <c r="A1406" s="7">
        <v>636021548</v>
      </c>
      <c r="B1406" s="18" t="s">
        <v>2808</v>
      </c>
      <c r="C1406" s="125">
        <v>180</v>
      </c>
      <c r="D1406" s="125">
        <v>26130</v>
      </c>
      <c r="E1406" s="125">
        <v>9.82</v>
      </c>
      <c r="F1406" s="128"/>
      <c r="G1406" s="128"/>
      <c r="H1406" s="128"/>
      <c r="I1406" s="19" t="s">
        <v>273</v>
      </c>
      <c r="J1406" s="223"/>
    </row>
    <row r="1407" spans="1:10" s="144" customFormat="1" ht="12.75" x14ac:dyDescent="0.25">
      <c r="A1407" s="87">
        <v>525200436</v>
      </c>
      <c r="B1407" s="22" t="s">
        <v>2809</v>
      </c>
      <c r="C1407" s="10" t="s">
        <v>2810</v>
      </c>
      <c r="D1407" s="10" t="s">
        <v>2811</v>
      </c>
      <c r="E1407" s="10" t="s">
        <v>2812</v>
      </c>
      <c r="F1407" s="125"/>
      <c r="G1407" s="125"/>
      <c r="H1407" s="125"/>
      <c r="I1407" s="23" t="s">
        <v>2813</v>
      </c>
      <c r="J1407" s="223"/>
    </row>
    <row r="1408" spans="1:10" s="144" customFormat="1" ht="12.75" x14ac:dyDescent="0.25">
      <c r="A1408" s="87">
        <v>574634000</v>
      </c>
      <c r="B1408" s="18" t="s">
        <v>2818</v>
      </c>
      <c r="C1408" s="7">
        <v>136</v>
      </c>
      <c r="D1408" s="7">
        <v>8216</v>
      </c>
      <c r="E1408" s="7">
        <v>4.7</v>
      </c>
      <c r="F1408" s="7"/>
      <c r="G1408" s="7"/>
      <c r="H1408" s="7"/>
      <c r="I1408" s="7" t="s">
        <v>1895</v>
      </c>
      <c r="J1408" s="223"/>
    </row>
    <row r="1409" spans="1:10" s="144" customFormat="1" ht="12.75" x14ac:dyDescent="0.25">
      <c r="A1409" s="7">
        <v>525401965</v>
      </c>
      <c r="B1409" s="18" t="s">
        <v>5458</v>
      </c>
      <c r="C1409" s="7">
        <v>118</v>
      </c>
      <c r="D1409" s="7">
        <v>4761</v>
      </c>
      <c r="E1409" s="7" t="s">
        <v>726</v>
      </c>
      <c r="F1409" s="7"/>
      <c r="G1409" s="7"/>
      <c r="H1409" s="7"/>
      <c r="I1409" s="7" t="s">
        <v>2304</v>
      </c>
      <c r="J1409" s="223"/>
    </row>
    <row r="1410" spans="1:10" s="144" customFormat="1" ht="12.75" x14ac:dyDescent="0.25">
      <c r="A1410" s="206">
        <v>636093010</v>
      </c>
      <c r="B1410" s="141" t="s">
        <v>2884</v>
      </c>
      <c r="C1410" s="142">
        <v>171</v>
      </c>
      <c r="D1410" s="142">
        <v>25514</v>
      </c>
      <c r="E1410" s="142">
        <v>9</v>
      </c>
      <c r="F1410" s="142"/>
      <c r="G1410" s="142"/>
      <c r="H1410" s="142"/>
      <c r="I1410" s="143" t="s">
        <v>71</v>
      </c>
      <c r="J1410" s="223"/>
    </row>
    <row r="1411" spans="1:10" s="144" customFormat="1" ht="12.75" x14ac:dyDescent="0.25">
      <c r="A1411" s="140">
        <v>525003243</v>
      </c>
      <c r="B1411" s="141" t="s">
        <v>2885</v>
      </c>
      <c r="C1411" s="142" t="s">
        <v>2886</v>
      </c>
      <c r="D1411" s="142" t="s">
        <v>2664</v>
      </c>
      <c r="E1411" s="216" t="s">
        <v>2887</v>
      </c>
      <c r="F1411" s="142"/>
      <c r="G1411" s="142"/>
      <c r="H1411" s="142"/>
      <c r="I1411" s="143" t="s">
        <v>2888</v>
      </c>
      <c r="J1411" s="223"/>
    </row>
    <row r="1412" spans="1:10" s="144" customFormat="1" ht="12.75" x14ac:dyDescent="0.25">
      <c r="A1412" s="7">
        <v>356015000</v>
      </c>
      <c r="B1412" s="22" t="s">
        <v>2889</v>
      </c>
      <c r="C1412" s="142">
        <v>186</v>
      </c>
      <c r="D1412" s="142">
        <v>32828</v>
      </c>
      <c r="E1412" s="142">
        <v>8.25</v>
      </c>
      <c r="F1412" s="142"/>
      <c r="G1412" s="142"/>
      <c r="H1412" s="142"/>
      <c r="I1412" s="23" t="s">
        <v>71</v>
      </c>
      <c r="J1412" s="223"/>
    </row>
    <row r="1413" spans="1:10" s="144" customFormat="1" ht="12.75" x14ac:dyDescent="0.25">
      <c r="A1413" s="206">
        <v>355438000</v>
      </c>
      <c r="B1413" s="141" t="s">
        <v>2890</v>
      </c>
      <c r="C1413" s="142">
        <v>120</v>
      </c>
      <c r="D1413" s="142">
        <v>9593</v>
      </c>
      <c r="E1413" s="142">
        <v>4.8600000000000003</v>
      </c>
      <c r="F1413" s="142"/>
      <c r="G1413" s="142"/>
      <c r="H1413" s="142"/>
      <c r="I1413" s="143" t="s">
        <v>262</v>
      </c>
      <c r="J1413" s="223"/>
    </row>
    <row r="1414" spans="1:10" s="144" customFormat="1" ht="12.75" x14ac:dyDescent="0.25">
      <c r="A1414" s="7">
        <v>525201554</v>
      </c>
      <c r="B1414" s="141" t="s">
        <v>2891</v>
      </c>
      <c r="C1414" s="142">
        <v>91</v>
      </c>
      <c r="D1414" s="142">
        <v>2604</v>
      </c>
      <c r="E1414" s="142">
        <v>6</v>
      </c>
      <c r="F1414" s="142"/>
      <c r="G1414" s="142"/>
      <c r="H1414" s="142"/>
      <c r="I1414" s="143" t="s">
        <v>39</v>
      </c>
      <c r="J1414" s="223"/>
    </row>
    <row r="1415" spans="1:10" s="144" customFormat="1" ht="12.75" x14ac:dyDescent="0.25">
      <c r="A1415" s="7">
        <v>525501760</v>
      </c>
      <c r="B1415" s="22" t="s">
        <v>2893</v>
      </c>
      <c r="C1415" s="10" t="s">
        <v>2894</v>
      </c>
      <c r="D1415" s="10" t="s">
        <v>2895</v>
      </c>
      <c r="E1415" s="10" t="s">
        <v>2896</v>
      </c>
      <c r="F1415" s="142"/>
      <c r="G1415" s="142"/>
      <c r="H1415" s="142"/>
      <c r="I1415" s="23" t="s">
        <v>39</v>
      </c>
      <c r="J1415" s="223"/>
    </row>
    <row r="1416" spans="1:10" s="144" customFormat="1" ht="12.75" x14ac:dyDescent="0.25">
      <c r="A1416" s="7">
        <v>525101689</v>
      </c>
      <c r="B1416" s="22" t="s">
        <v>2897</v>
      </c>
      <c r="C1416" s="10">
        <v>93</v>
      </c>
      <c r="D1416" s="10">
        <v>4295</v>
      </c>
      <c r="E1416" s="10">
        <v>5.65</v>
      </c>
      <c r="F1416" s="10"/>
      <c r="G1416" s="10"/>
      <c r="H1416" s="10"/>
      <c r="I1416" s="23" t="s">
        <v>47</v>
      </c>
      <c r="J1416" s="223"/>
    </row>
    <row r="1417" spans="1:10" s="144" customFormat="1" ht="12.75" x14ac:dyDescent="0.25">
      <c r="A1417" s="7">
        <v>477732800</v>
      </c>
      <c r="B1417" s="22" t="s">
        <v>2898</v>
      </c>
      <c r="C1417" s="10">
        <v>199</v>
      </c>
      <c r="D1417" s="10">
        <v>35815</v>
      </c>
      <c r="E1417" s="10">
        <v>13.3</v>
      </c>
      <c r="F1417" s="10"/>
      <c r="G1417" s="10"/>
      <c r="H1417" s="10"/>
      <c r="I1417" s="23" t="s">
        <v>262</v>
      </c>
      <c r="J1417" s="223"/>
    </row>
    <row r="1418" spans="1:10" s="144" customFormat="1" ht="12.75" x14ac:dyDescent="0.25">
      <c r="A1418" s="7">
        <v>352004294</v>
      </c>
      <c r="B1418" s="22" t="s">
        <v>2899</v>
      </c>
      <c r="C1418" s="10">
        <v>171.5</v>
      </c>
      <c r="D1418" s="10">
        <v>19882</v>
      </c>
      <c r="E1418" s="10">
        <v>6</v>
      </c>
      <c r="F1418" s="10"/>
      <c r="G1418" s="10"/>
      <c r="H1418" s="10"/>
      <c r="I1418" s="23" t="s">
        <v>273</v>
      </c>
      <c r="J1418" s="223"/>
    </row>
    <row r="1419" spans="1:10" s="144" customFormat="1" ht="12.75" x14ac:dyDescent="0.25">
      <c r="A1419" s="7">
        <v>525701447</v>
      </c>
      <c r="B1419" s="22" t="s">
        <v>2900</v>
      </c>
      <c r="C1419" s="10" t="s">
        <v>615</v>
      </c>
      <c r="D1419" s="10" t="s">
        <v>2901</v>
      </c>
      <c r="E1419" s="10" t="s">
        <v>1934</v>
      </c>
      <c r="F1419" s="10"/>
      <c r="G1419" s="10"/>
      <c r="H1419" s="10"/>
      <c r="I1419" s="23" t="s">
        <v>2002</v>
      </c>
      <c r="J1419" s="223"/>
    </row>
    <row r="1420" spans="1:10" s="144" customFormat="1" ht="12.75" x14ac:dyDescent="0.25">
      <c r="A1420" s="7">
        <v>477986400</v>
      </c>
      <c r="B1420" s="22" t="s">
        <v>2903</v>
      </c>
      <c r="C1420" s="10">
        <v>230</v>
      </c>
      <c r="D1420" s="10">
        <v>50725</v>
      </c>
      <c r="E1420" s="10">
        <v>14.7</v>
      </c>
      <c r="F1420" s="10"/>
      <c r="G1420" s="10"/>
      <c r="H1420" s="10"/>
      <c r="I1420" s="23" t="s">
        <v>262</v>
      </c>
      <c r="J1420" s="223"/>
    </row>
    <row r="1421" spans="1:10" s="144" customFormat="1" ht="12.75" x14ac:dyDescent="0.25">
      <c r="A1421" s="7">
        <v>525301519</v>
      </c>
      <c r="B1421" s="22" t="s">
        <v>3779</v>
      </c>
      <c r="C1421" s="10" t="s">
        <v>2904</v>
      </c>
      <c r="D1421" s="10" t="s">
        <v>3780</v>
      </c>
      <c r="E1421" s="10" t="s">
        <v>3781</v>
      </c>
      <c r="F1421" s="10"/>
      <c r="G1421" s="10"/>
      <c r="H1421" s="10"/>
      <c r="I1421" s="23" t="s">
        <v>71</v>
      </c>
      <c r="J1421" s="223"/>
    </row>
    <row r="1422" spans="1:10" s="144" customFormat="1" ht="12.75" x14ac:dyDescent="0.25">
      <c r="A1422" s="7">
        <v>525020028</v>
      </c>
      <c r="B1422" s="22" t="s">
        <v>2905</v>
      </c>
      <c r="C1422" s="10" t="s">
        <v>2906</v>
      </c>
      <c r="D1422" s="10" t="s">
        <v>2907</v>
      </c>
      <c r="E1422" s="10" t="s">
        <v>2908</v>
      </c>
      <c r="F1422" s="10"/>
      <c r="G1422" s="10"/>
      <c r="H1422" s="10"/>
      <c r="I1422" s="23" t="s">
        <v>2002</v>
      </c>
      <c r="J1422" s="223"/>
    </row>
    <row r="1423" spans="1:10" s="144" customFormat="1" ht="12.75" x14ac:dyDescent="0.25">
      <c r="A1423" s="7">
        <v>636023388</v>
      </c>
      <c r="B1423" s="141" t="s">
        <v>2909</v>
      </c>
      <c r="C1423" s="142">
        <v>183</v>
      </c>
      <c r="D1423" s="142">
        <v>28858</v>
      </c>
      <c r="E1423" s="142">
        <v>12.1</v>
      </c>
      <c r="F1423" s="142"/>
      <c r="G1423" s="142"/>
      <c r="H1423" s="142"/>
      <c r="I1423" s="143" t="s">
        <v>160</v>
      </c>
      <c r="J1423" s="223"/>
    </row>
    <row r="1424" spans="1:10" s="144" customFormat="1" ht="12.75" x14ac:dyDescent="0.25">
      <c r="A1424" s="7">
        <v>525016648</v>
      </c>
      <c r="B1424" s="141" t="s">
        <v>2910</v>
      </c>
      <c r="C1424" s="142">
        <v>40</v>
      </c>
      <c r="D1424" s="142">
        <v>496</v>
      </c>
      <c r="E1424" s="142">
        <v>3.3</v>
      </c>
      <c r="F1424" s="142"/>
      <c r="G1424" s="142"/>
      <c r="H1424" s="142"/>
      <c r="I1424" s="143"/>
      <c r="J1424" s="223"/>
    </row>
    <row r="1425" spans="1:10" s="144" customFormat="1" ht="12.75" x14ac:dyDescent="0.25">
      <c r="A1425" s="7">
        <v>525015276</v>
      </c>
      <c r="B1425" s="141" t="s">
        <v>2911</v>
      </c>
      <c r="C1425" s="142">
        <v>97</v>
      </c>
      <c r="D1425" s="142">
        <v>2997</v>
      </c>
      <c r="E1425" s="142">
        <v>3.7</v>
      </c>
      <c r="F1425" s="142"/>
      <c r="G1425" s="142"/>
      <c r="H1425" s="142"/>
      <c r="I1425" s="143"/>
      <c r="J1425" s="223"/>
    </row>
    <row r="1426" spans="1:10" s="144" customFormat="1" ht="12.75" x14ac:dyDescent="0.25">
      <c r="A1426" s="206">
        <v>563037800</v>
      </c>
      <c r="B1426" s="22" t="s">
        <v>2912</v>
      </c>
      <c r="C1426" s="142">
        <v>99</v>
      </c>
      <c r="D1426" s="142">
        <v>4434</v>
      </c>
      <c r="E1426" s="142">
        <v>4.3</v>
      </c>
      <c r="F1426" s="142"/>
      <c r="G1426" s="142"/>
      <c r="H1426" s="142"/>
      <c r="I1426" s="23" t="s">
        <v>2913</v>
      </c>
      <c r="J1426" s="223"/>
    </row>
    <row r="1427" spans="1:10" s="144" customFormat="1" ht="12.75" x14ac:dyDescent="0.25">
      <c r="A1427" s="7">
        <v>563229600</v>
      </c>
      <c r="B1427" s="22" t="s">
        <v>2914</v>
      </c>
      <c r="C1427" s="142">
        <v>183</v>
      </c>
      <c r="D1427" s="142">
        <v>30291</v>
      </c>
      <c r="E1427" s="142">
        <v>7.7</v>
      </c>
      <c r="F1427" s="142"/>
      <c r="G1427" s="142"/>
      <c r="H1427" s="142"/>
      <c r="I1427" s="23" t="s">
        <v>1895</v>
      </c>
      <c r="J1427" s="223"/>
    </row>
    <row r="1428" spans="1:10" s="144" customFormat="1" ht="12.75" x14ac:dyDescent="0.25">
      <c r="A1428" s="7">
        <v>351430000</v>
      </c>
      <c r="B1428" s="22" t="s">
        <v>2915</v>
      </c>
      <c r="C1428" s="10">
        <v>159</v>
      </c>
      <c r="D1428" s="10">
        <v>18136</v>
      </c>
      <c r="E1428" s="10">
        <v>8.4</v>
      </c>
      <c r="F1428" s="10"/>
      <c r="G1428" s="10"/>
      <c r="H1428" s="10"/>
      <c r="I1428" s="23" t="s">
        <v>43</v>
      </c>
      <c r="J1428" s="223"/>
    </row>
    <row r="1429" spans="1:10" s="144" customFormat="1" ht="12.75" x14ac:dyDescent="0.25">
      <c r="A1429" s="206">
        <v>525010296</v>
      </c>
      <c r="B1429" s="22" t="s">
        <v>2916</v>
      </c>
      <c r="C1429" s="10" t="s">
        <v>2917</v>
      </c>
      <c r="D1429" s="10" t="s">
        <v>2918</v>
      </c>
      <c r="E1429" s="40" t="s">
        <v>1717</v>
      </c>
      <c r="F1429" s="10"/>
      <c r="G1429" s="10"/>
      <c r="H1429" s="10"/>
      <c r="I1429" s="23" t="s">
        <v>46</v>
      </c>
      <c r="J1429" s="223"/>
    </row>
    <row r="1430" spans="1:10" s="144" customFormat="1" ht="12.75" x14ac:dyDescent="0.25">
      <c r="A1430" s="87">
        <v>525021209</v>
      </c>
      <c r="B1430" s="22" t="s">
        <v>2919</v>
      </c>
      <c r="C1430" s="10" t="s">
        <v>2920</v>
      </c>
      <c r="D1430" s="10" t="s">
        <v>2921</v>
      </c>
      <c r="E1430" s="40" t="s">
        <v>2244</v>
      </c>
      <c r="F1430" s="142"/>
      <c r="G1430" s="142"/>
      <c r="H1430" s="142"/>
      <c r="I1430" s="23" t="s">
        <v>46</v>
      </c>
      <c r="J1430" s="223"/>
    </row>
    <row r="1431" spans="1:10" s="144" customFormat="1" ht="12.75" x14ac:dyDescent="0.25">
      <c r="A1431" s="7">
        <v>525003455</v>
      </c>
      <c r="B1431" s="22" t="s">
        <v>3673</v>
      </c>
      <c r="C1431" s="10" t="s">
        <v>3674</v>
      </c>
      <c r="D1431" s="10" t="s">
        <v>2922</v>
      </c>
      <c r="E1431" s="10" t="s">
        <v>3675</v>
      </c>
      <c r="F1431" s="142"/>
      <c r="G1431" s="142"/>
      <c r="H1431" s="142"/>
      <c r="I1431" s="23" t="s">
        <v>84</v>
      </c>
      <c r="J1431" s="223"/>
    </row>
    <row r="1432" spans="1:10" s="144" customFormat="1" ht="12.75" x14ac:dyDescent="0.25">
      <c r="A1432" s="7">
        <v>525007094</v>
      </c>
      <c r="B1432" s="22" t="s">
        <v>2923</v>
      </c>
      <c r="C1432" s="10" t="s">
        <v>2924</v>
      </c>
      <c r="D1432" s="10" t="s">
        <v>2925</v>
      </c>
      <c r="E1432" s="10" t="s">
        <v>2926</v>
      </c>
      <c r="F1432" s="142"/>
      <c r="G1432" s="142"/>
      <c r="H1432" s="142"/>
      <c r="I1432" s="23" t="s">
        <v>245</v>
      </c>
      <c r="J1432" s="223"/>
    </row>
    <row r="1433" spans="1:10" s="144" customFormat="1" ht="12.75" x14ac:dyDescent="0.25">
      <c r="A1433" s="7">
        <v>525300353</v>
      </c>
      <c r="B1433" s="22" t="s">
        <v>2927</v>
      </c>
      <c r="C1433" s="10" t="s">
        <v>2928</v>
      </c>
      <c r="D1433" s="10" t="s">
        <v>2929</v>
      </c>
      <c r="E1433" s="10" t="s">
        <v>2930</v>
      </c>
      <c r="F1433" s="142"/>
      <c r="G1433" s="142"/>
      <c r="H1433" s="142"/>
      <c r="I1433" s="23" t="s">
        <v>39</v>
      </c>
      <c r="J1433" s="223"/>
    </row>
    <row r="1434" spans="1:10" s="144" customFormat="1" ht="12.75" x14ac:dyDescent="0.25">
      <c r="A1434" s="7">
        <v>548472000</v>
      </c>
      <c r="B1434" s="22" t="s">
        <v>2931</v>
      </c>
      <c r="C1434" s="142">
        <v>146</v>
      </c>
      <c r="D1434" s="142">
        <v>11773</v>
      </c>
      <c r="E1434" s="142">
        <v>5.7</v>
      </c>
      <c r="F1434" s="142"/>
      <c r="G1434" s="142"/>
      <c r="H1434" s="142"/>
      <c r="I1434" s="23" t="s">
        <v>1895</v>
      </c>
      <c r="J1434" s="223"/>
    </row>
    <row r="1435" spans="1:10" s="144" customFormat="1" ht="12.75" x14ac:dyDescent="0.25">
      <c r="A1435" s="7">
        <v>311001599</v>
      </c>
      <c r="B1435" s="22" t="s">
        <v>2932</v>
      </c>
      <c r="C1435" s="142">
        <v>199</v>
      </c>
      <c r="D1435" s="142">
        <v>38453</v>
      </c>
      <c r="E1435" s="142">
        <v>13</v>
      </c>
      <c r="F1435" s="142"/>
      <c r="G1435" s="142"/>
      <c r="H1435" s="142"/>
      <c r="I1435" s="23" t="s">
        <v>273</v>
      </c>
      <c r="J1435" s="223"/>
    </row>
    <row r="1436" spans="1:10" s="144" customFormat="1" ht="12.75" x14ac:dyDescent="0.25">
      <c r="A1436" s="7">
        <v>525600775</v>
      </c>
      <c r="B1436" s="22" t="s">
        <v>2933</v>
      </c>
      <c r="C1436" s="142">
        <v>43</v>
      </c>
      <c r="D1436" s="142">
        <v>494</v>
      </c>
      <c r="E1436" s="142">
        <v>3.8</v>
      </c>
      <c r="F1436" s="142"/>
      <c r="G1436" s="142"/>
      <c r="H1436" s="142"/>
      <c r="I1436" s="23" t="s">
        <v>2398</v>
      </c>
      <c r="J1436" s="223"/>
    </row>
    <row r="1437" spans="1:10" s="144" customFormat="1" ht="12.75" x14ac:dyDescent="0.25">
      <c r="A1437" s="206">
        <v>525015459</v>
      </c>
      <c r="B1437" s="141" t="s">
        <v>2934</v>
      </c>
      <c r="C1437" s="142">
        <v>105</v>
      </c>
      <c r="D1437" s="142">
        <v>3246</v>
      </c>
      <c r="E1437" s="142">
        <v>6.6</v>
      </c>
      <c r="F1437" s="142"/>
      <c r="G1437" s="142"/>
      <c r="H1437" s="142"/>
      <c r="I1437" s="143" t="s">
        <v>1707</v>
      </c>
      <c r="J1437" s="223"/>
    </row>
    <row r="1438" spans="1:10" s="144" customFormat="1" ht="12.75" x14ac:dyDescent="0.25">
      <c r="A1438" s="7">
        <v>477300200</v>
      </c>
      <c r="B1438" s="141" t="s">
        <v>2938</v>
      </c>
      <c r="C1438" s="142">
        <v>300</v>
      </c>
      <c r="D1438" s="142">
        <v>106913</v>
      </c>
      <c r="E1438" s="142">
        <v>17.47</v>
      </c>
      <c r="F1438" s="142"/>
      <c r="G1438" s="142"/>
      <c r="H1438" s="142"/>
      <c r="I1438" s="143" t="s">
        <v>154</v>
      </c>
      <c r="J1438" s="223"/>
    </row>
    <row r="1439" spans="1:10" s="144" customFormat="1" ht="12.75" x14ac:dyDescent="0.25">
      <c r="A1439" s="7">
        <v>525009173</v>
      </c>
      <c r="B1439" s="141" t="s">
        <v>2939</v>
      </c>
      <c r="C1439" s="142" t="s">
        <v>2940</v>
      </c>
      <c r="D1439" s="142" t="s">
        <v>2941</v>
      </c>
      <c r="E1439" s="216" t="s">
        <v>2887</v>
      </c>
      <c r="F1439" s="142"/>
      <c r="G1439" s="142"/>
      <c r="H1439" s="142"/>
      <c r="I1439" s="143" t="s">
        <v>39</v>
      </c>
      <c r="J1439" s="223"/>
    </row>
    <row r="1440" spans="1:10" s="144" customFormat="1" ht="12.75" x14ac:dyDescent="0.25">
      <c r="A1440" s="7">
        <v>538009659</v>
      </c>
      <c r="B1440" s="141" t="s">
        <v>2942</v>
      </c>
      <c r="C1440" s="142">
        <v>181</v>
      </c>
      <c r="D1440" s="142">
        <v>22656</v>
      </c>
      <c r="E1440" s="142">
        <v>8.6999999999999993</v>
      </c>
      <c r="F1440" s="142"/>
      <c r="G1440" s="142"/>
      <c r="H1440" s="142"/>
      <c r="I1440" s="143" t="s">
        <v>262</v>
      </c>
      <c r="J1440" s="223"/>
    </row>
    <row r="1441" spans="1:10" s="144" customFormat="1" ht="12.75" x14ac:dyDescent="0.25">
      <c r="A1441" s="7">
        <v>412029000</v>
      </c>
      <c r="B1441" s="141" t="s">
        <v>2943</v>
      </c>
      <c r="C1441" s="142">
        <v>189</v>
      </c>
      <c r="D1441" s="142">
        <v>32962</v>
      </c>
      <c r="E1441" s="142">
        <v>9.9</v>
      </c>
      <c r="F1441" s="142"/>
      <c r="G1441" s="142"/>
      <c r="H1441" s="142"/>
      <c r="I1441" s="143" t="s">
        <v>1534</v>
      </c>
      <c r="J1441" s="223"/>
    </row>
    <row r="1442" spans="1:10" s="144" customFormat="1" ht="12.75" x14ac:dyDescent="0.25">
      <c r="A1442" s="7">
        <v>525500325</v>
      </c>
      <c r="B1442" s="141" t="s">
        <v>2944</v>
      </c>
      <c r="C1442" s="142">
        <v>76</v>
      </c>
      <c r="D1442" s="142">
        <v>1293</v>
      </c>
      <c r="E1442" s="142">
        <v>3.5</v>
      </c>
      <c r="F1442" s="142"/>
      <c r="G1442" s="142"/>
      <c r="H1442" s="142"/>
      <c r="I1442" s="143" t="s">
        <v>39</v>
      </c>
      <c r="J1442" s="223"/>
    </row>
    <row r="1443" spans="1:10" s="144" customFormat="1" ht="12.75" x14ac:dyDescent="0.25">
      <c r="A1443" s="7">
        <v>255006233</v>
      </c>
      <c r="B1443" s="141" t="s">
        <v>2945</v>
      </c>
      <c r="C1443" s="142">
        <v>264</v>
      </c>
      <c r="D1443" s="142">
        <v>47655</v>
      </c>
      <c r="E1443" s="142">
        <v>11</v>
      </c>
      <c r="F1443" s="142"/>
      <c r="G1443" s="142"/>
      <c r="H1443" s="142"/>
      <c r="I1443" s="143" t="s">
        <v>71</v>
      </c>
      <c r="J1443" s="223"/>
    </row>
    <row r="1444" spans="1:10" s="144" customFormat="1" ht="12.75" x14ac:dyDescent="0.25">
      <c r="A1444" s="7">
        <v>525201025</v>
      </c>
      <c r="B1444" s="141" t="s">
        <v>2946</v>
      </c>
      <c r="C1444" s="142" t="s">
        <v>2947</v>
      </c>
      <c r="D1444" s="142" t="s">
        <v>2948</v>
      </c>
      <c r="E1444" s="216" t="s">
        <v>383</v>
      </c>
      <c r="F1444" s="142"/>
      <c r="G1444" s="142"/>
      <c r="H1444" s="142"/>
      <c r="I1444" s="143" t="s">
        <v>71</v>
      </c>
      <c r="J1444" s="223"/>
    </row>
    <row r="1445" spans="1:10" s="144" customFormat="1" ht="12.75" x14ac:dyDescent="0.25">
      <c r="A1445" s="7">
        <v>253661000</v>
      </c>
      <c r="B1445" s="141" t="s">
        <v>2949</v>
      </c>
      <c r="C1445" s="142">
        <v>116</v>
      </c>
      <c r="D1445" s="142">
        <v>6171</v>
      </c>
      <c r="E1445" s="142">
        <v>5.2</v>
      </c>
      <c r="F1445" s="142"/>
      <c r="G1445" s="142"/>
      <c r="H1445" s="142"/>
      <c r="I1445" s="143" t="s">
        <v>71</v>
      </c>
      <c r="J1445" s="223"/>
    </row>
    <row r="1446" spans="1:10" s="144" customFormat="1" ht="12.75" x14ac:dyDescent="0.25">
      <c r="A1446" s="7">
        <v>525500490</v>
      </c>
      <c r="B1446" s="22" t="s">
        <v>2950</v>
      </c>
      <c r="C1446" s="10" t="s">
        <v>2951</v>
      </c>
      <c r="D1446" s="10" t="s">
        <v>2952</v>
      </c>
      <c r="E1446" s="10" t="s">
        <v>2953</v>
      </c>
      <c r="F1446" s="142"/>
      <c r="G1446" s="142"/>
      <c r="H1446" s="142"/>
      <c r="I1446" s="23" t="s">
        <v>39</v>
      </c>
      <c r="J1446" s="223"/>
    </row>
    <row r="1447" spans="1:10" s="144" customFormat="1" ht="12.75" x14ac:dyDescent="0.25">
      <c r="A1447" s="206">
        <v>538011232</v>
      </c>
      <c r="B1447" s="22" t="s">
        <v>2954</v>
      </c>
      <c r="C1447" s="10">
        <v>190</v>
      </c>
      <c r="D1447" s="10">
        <v>33042</v>
      </c>
      <c r="E1447" s="10">
        <v>7.1</v>
      </c>
      <c r="F1447" s="10"/>
      <c r="G1447" s="10"/>
      <c r="H1447" s="10"/>
      <c r="I1447" s="23" t="s">
        <v>273</v>
      </c>
      <c r="J1447" s="223"/>
    </row>
    <row r="1448" spans="1:10" s="144" customFormat="1" ht="12.75" x14ac:dyDescent="0.25">
      <c r="A1448" s="206">
        <v>528005739</v>
      </c>
      <c r="B1448" s="141" t="s">
        <v>2955</v>
      </c>
      <c r="C1448" s="142">
        <v>292</v>
      </c>
      <c r="D1448" s="142">
        <v>93302</v>
      </c>
      <c r="E1448" s="142">
        <v>8.6999999999999993</v>
      </c>
      <c r="F1448" s="142"/>
      <c r="G1448" s="142"/>
      <c r="H1448" s="142"/>
      <c r="I1448" s="143" t="s">
        <v>154</v>
      </c>
      <c r="J1448" s="223"/>
    </row>
    <row r="1449" spans="1:10" s="144" customFormat="1" ht="12.75" x14ac:dyDescent="0.25">
      <c r="A1449" s="7">
        <v>636017469</v>
      </c>
      <c r="B1449" s="141" t="s">
        <v>2957</v>
      </c>
      <c r="C1449" s="142">
        <v>229</v>
      </c>
      <c r="D1449" s="142">
        <v>44029</v>
      </c>
      <c r="E1449" s="142">
        <v>7.3</v>
      </c>
      <c r="F1449" s="142"/>
      <c r="G1449" s="142"/>
      <c r="H1449" s="142"/>
      <c r="I1449" s="143" t="s">
        <v>71</v>
      </c>
      <c r="J1449" s="223"/>
    </row>
    <row r="1450" spans="1:10" s="144" customFormat="1" ht="12.75" x14ac:dyDescent="0.25">
      <c r="A1450" s="7">
        <v>373259000</v>
      </c>
      <c r="B1450" s="141" t="s">
        <v>2958</v>
      </c>
      <c r="C1450" s="10" t="s">
        <v>3336</v>
      </c>
      <c r="D1450" s="142">
        <v>25328</v>
      </c>
      <c r="E1450" s="10" t="s">
        <v>1221</v>
      </c>
      <c r="F1450" s="142"/>
      <c r="G1450" s="142"/>
      <c r="H1450" s="142"/>
      <c r="I1450" s="23" t="s">
        <v>2096</v>
      </c>
      <c r="J1450" s="223"/>
    </row>
    <row r="1451" spans="1:10" s="144" customFormat="1" ht="12.75" x14ac:dyDescent="0.25">
      <c r="A1451" s="7">
        <v>525601428</v>
      </c>
      <c r="B1451" s="141" t="s">
        <v>2959</v>
      </c>
      <c r="C1451" s="142" t="s">
        <v>241</v>
      </c>
      <c r="D1451" s="142" t="s">
        <v>2960</v>
      </c>
      <c r="E1451" s="142" t="s">
        <v>2961</v>
      </c>
      <c r="F1451" s="142"/>
      <c r="G1451" s="142"/>
      <c r="H1451" s="142"/>
      <c r="I1451" s="143" t="s">
        <v>245</v>
      </c>
      <c r="J1451" s="223"/>
    </row>
    <row r="1452" spans="1:10" s="144" customFormat="1" ht="12.75" x14ac:dyDescent="0.25">
      <c r="A1452" s="7">
        <v>525701031</v>
      </c>
      <c r="B1452" s="141" t="s">
        <v>2962</v>
      </c>
      <c r="C1452" s="142" t="s">
        <v>1652</v>
      </c>
      <c r="D1452" s="142" t="s">
        <v>2956</v>
      </c>
      <c r="E1452" s="142"/>
      <c r="F1452" s="142"/>
      <c r="G1452" s="142"/>
      <c r="H1452" s="142"/>
      <c r="I1452" s="143" t="s">
        <v>1870</v>
      </c>
      <c r="J1452" s="223"/>
    </row>
    <row r="1453" spans="1:10" s="144" customFormat="1" ht="12.75" x14ac:dyDescent="0.25">
      <c r="A1453" s="7">
        <v>525019570</v>
      </c>
      <c r="B1453" s="22" t="s">
        <v>2963</v>
      </c>
      <c r="C1453" s="142">
        <v>106</v>
      </c>
      <c r="D1453" s="142">
        <v>4324</v>
      </c>
      <c r="E1453" s="10" t="s">
        <v>91</v>
      </c>
      <c r="F1453" s="142"/>
      <c r="G1453" s="142"/>
      <c r="H1453" s="142"/>
      <c r="I1453" s="23" t="s">
        <v>1534</v>
      </c>
      <c r="J1453" s="223"/>
    </row>
    <row r="1454" spans="1:10" s="144" customFormat="1" ht="12.75" x14ac:dyDescent="0.25">
      <c r="A1454" s="206">
        <v>525100261</v>
      </c>
      <c r="B1454" s="22" t="s">
        <v>2964</v>
      </c>
      <c r="C1454" s="10">
        <v>189</v>
      </c>
      <c r="D1454" s="10">
        <v>26562</v>
      </c>
      <c r="E1454" s="10">
        <v>10.8</v>
      </c>
      <c r="F1454" s="10"/>
      <c r="G1454" s="10"/>
      <c r="H1454" s="10"/>
      <c r="I1454" s="23" t="s">
        <v>46</v>
      </c>
      <c r="J1454" s="223"/>
    </row>
    <row r="1455" spans="1:10" s="144" customFormat="1" ht="12.75" x14ac:dyDescent="0.25">
      <c r="A1455" s="7">
        <v>525006401</v>
      </c>
      <c r="B1455" s="22" t="s">
        <v>2965</v>
      </c>
      <c r="C1455" s="10">
        <v>99</v>
      </c>
      <c r="D1455" s="10">
        <v>5376</v>
      </c>
      <c r="E1455" s="10">
        <v>1.95</v>
      </c>
      <c r="F1455" s="10"/>
      <c r="G1455" s="10"/>
      <c r="H1455" s="10"/>
      <c r="I1455" s="23" t="s">
        <v>245</v>
      </c>
      <c r="J1455" s="223"/>
    </row>
    <row r="1456" spans="1:10" s="144" customFormat="1" ht="12.75" x14ac:dyDescent="0.25">
      <c r="A1456" s="7">
        <v>563053800</v>
      </c>
      <c r="B1456" s="22" t="s">
        <v>2966</v>
      </c>
      <c r="C1456" s="10">
        <v>299</v>
      </c>
      <c r="D1456" s="10">
        <v>107449</v>
      </c>
      <c r="E1456" s="10">
        <v>17.100000000000001</v>
      </c>
      <c r="F1456" s="10"/>
      <c r="G1456" s="10"/>
      <c r="H1456" s="10"/>
      <c r="I1456" s="23" t="s">
        <v>154</v>
      </c>
      <c r="J1456" s="223"/>
    </row>
    <row r="1457" spans="1:10" s="144" customFormat="1" ht="12.75" x14ac:dyDescent="0.25">
      <c r="A1457" s="7">
        <v>525300755</v>
      </c>
      <c r="B1457" s="141" t="s">
        <v>2967</v>
      </c>
      <c r="C1457" s="142" t="s">
        <v>241</v>
      </c>
      <c r="D1457" s="142" t="s">
        <v>2960</v>
      </c>
      <c r="E1457" s="142" t="s">
        <v>2968</v>
      </c>
      <c r="F1457" s="142"/>
      <c r="G1457" s="142"/>
      <c r="H1457" s="142"/>
      <c r="I1457" s="143" t="s">
        <v>353</v>
      </c>
      <c r="J1457" s="223"/>
    </row>
    <row r="1458" spans="1:10" s="144" customFormat="1" ht="12.75" x14ac:dyDescent="0.25">
      <c r="A1458" s="7">
        <v>538006519</v>
      </c>
      <c r="B1458" s="141" t="s">
        <v>2969</v>
      </c>
      <c r="C1458" s="142">
        <v>200</v>
      </c>
      <c r="D1458" s="142">
        <v>36415</v>
      </c>
      <c r="E1458" s="142">
        <v>11.7</v>
      </c>
      <c r="F1458" s="142"/>
      <c r="G1458" s="142"/>
      <c r="H1458" s="142"/>
      <c r="I1458" s="143" t="s">
        <v>262</v>
      </c>
      <c r="J1458" s="223"/>
    </row>
    <row r="1459" spans="1:10" s="144" customFormat="1" ht="12.75" x14ac:dyDescent="0.25">
      <c r="A1459" s="7">
        <v>352654000</v>
      </c>
      <c r="B1459" s="22" t="s">
        <v>5195</v>
      </c>
      <c r="C1459" s="10">
        <v>124</v>
      </c>
      <c r="D1459" s="10">
        <v>8974</v>
      </c>
      <c r="E1459" s="10">
        <v>5</v>
      </c>
      <c r="F1459" s="10"/>
      <c r="G1459" s="10"/>
      <c r="H1459" s="10"/>
      <c r="I1459" s="23" t="s">
        <v>71</v>
      </c>
      <c r="J1459" s="223"/>
    </row>
    <row r="1460" spans="1:10" s="144" customFormat="1" ht="12.75" x14ac:dyDescent="0.25">
      <c r="A1460" s="7">
        <v>525024359</v>
      </c>
      <c r="B1460" s="22" t="s">
        <v>2970</v>
      </c>
      <c r="C1460" s="10" t="s">
        <v>2971</v>
      </c>
      <c r="D1460" s="10" t="s">
        <v>2972</v>
      </c>
      <c r="E1460" s="10" t="s">
        <v>2973</v>
      </c>
      <c r="F1460" s="10"/>
      <c r="G1460" s="10"/>
      <c r="H1460" s="10"/>
      <c r="I1460" s="23" t="s">
        <v>2398</v>
      </c>
      <c r="J1460" s="223"/>
    </row>
    <row r="1461" spans="1:10" s="144" customFormat="1" ht="12.75" x14ac:dyDescent="0.25">
      <c r="A1461" s="7">
        <v>533131066</v>
      </c>
      <c r="B1461" s="141" t="s">
        <v>2974</v>
      </c>
      <c r="C1461" s="142">
        <v>108</v>
      </c>
      <c r="D1461" s="142">
        <v>5620</v>
      </c>
      <c r="E1461" s="142">
        <v>6.4</v>
      </c>
      <c r="F1461" s="142"/>
      <c r="G1461" s="142"/>
      <c r="H1461" s="142"/>
      <c r="I1461" s="143" t="s">
        <v>2975</v>
      </c>
      <c r="J1461" s="223"/>
    </row>
    <row r="1462" spans="1:10" s="144" customFormat="1" ht="12.75" x14ac:dyDescent="0.25">
      <c r="A1462" s="7">
        <v>525010363</v>
      </c>
      <c r="B1462" s="141" t="s">
        <v>2976</v>
      </c>
      <c r="C1462" s="142">
        <v>50</v>
      </c>
      <c r="D1462" s="142">
        <v>583</v>
      </c>
      <c r="E1462" s="142">
        <v>4.8</v>
      </c>
      <c r="F1462" s="142"/>
      <c r="G1462" s="142"/>
      <c r="H1462" s="142"/>
      <c r="I1462" s="143" t="s">
        <v>2398</v>
      </c>
      <c r="J1462" s="223"/>
    </row>
    <row r="1463" spans="1:10" s="144" customFormat="1" ht="12.75" x14ac:dyDescent="0.25">
      <c r="A1463" s="7">
        <v>413572060</v>
      </c>
      <c r="B1463" s="141" t="s">
        <v>2977</v>
      </c>
      <c r="C1463" s="142">
        <v>120</v>
      </c>
      <c r="D1463" s="142">
        <v>7626</v>
      </c>
      <c r="E1463" s="142">
        <v>7.8</v>
      </c>
      <c r="F1463" s="142"/>
      <c r="G1463" s="142"/>
      <c r="H1463" s="142"/>
      <c r="I1463" s="143" t="s">
        <v>1895</v>
      </c>
      <c r="J1463" s="223"/>
    </row>
    <row r="1464" spans="1:10" s="144" customFormat="1" ht="12.75" x14ac:dyDescent="0.25">
      <c r="A1464" s="206">
        <v>525500006</v>
      </c>
      <c r="B1464" s="141" t="s">
        <v>2978</v>
      </c>
      <c r="C1464" s="142" t="s">
        <v>2979</v>
      </c>
      <c r="D1464" s="142" t="s">
        <v>2980</v>
      </c>
      <c r="E1464" s="142" t="s">
        <v>2981</v>
      </c>
      <c r="F1464" s="142"/>
      <c r="G1464" s="142"/>
      <c r="H1464" s="142"/>
      <c r="I1464" s="143" t="s">
        <v>39</v>
      </c>
      <c r="J1464" s="223"/>
    </row>
    <row r="1465" spans="1:10" s="144" customFormat="1" ht="12.75" x14ac:dyDescent="0.25">
      <c r="A1465" s="7">
        <v>636015989</v>
      </c>
      <c r="B1465" s="141" t="s">
        <v>2982</v>
      </c>
      <c r="C1465" s="142">
        <v>229</v>
      </c>
      <c r="D1465" s="142">
        <v>51255</v>
      </c>
      <c r="E1465" s="142">
        <v>13.3</v>
      </c>
      <c r="F1465" s="142"/>
      <c r="G1465" s="142"/>
      <c r="H1465" s="142"/>
      <c r="I1465" s="143" t="s">
        <v>154</v>
      </c>
      <c r="J1465" s="223"/>
    </row>
    <row r="1466" spans="1:10" s="144" customFormat="1" ht="12.75" x14ac:dyDescent="0.25">
      <c r="A1466" s="21">
        <v>525003645</v>
      </c>
      <c r="B1466" s="22" t="s">
        <v>3513</v>
      </c>
      <c r="C1466" s="10" t="s">
        <v>3514</v>
      </c>
      <c r="D1466" s="10" t="s">
        <v>3515</v>
      </c>
      <c r="E1466" s="10" t="s">
        <v>3516</v>
      </c>
      <c r="F1466" s="142"/>
      <c r="G1466" s="142"/>
      <c r="H1466" s="142"/>
      <c r="I1466" s="23" t="s">
        <v>1432</v>
      </c>
      <c r="J1466" s="223"/>
    </row>
    <row r="1467" spans="1:10" s="144" customFormat="1" ht="12.75" x14ac:dyDescent="0.25">
      <c r="A1467" s="21">
        <v>525201972</v>
      </c>
      <c r="B1467" s="22" t="s">
        <v>2983</v>
      </c>
      <c r="C1467" s="142">
        <v>125</v>
      </c>
      <c r="D1467" s="142">
        <v>6554</v>
      </c>
      <c r="E1467" s="142">
        <v>3.4</v>
      </c>
      <c r="F1467" s="142"/>
      <c r="G1467" s="142"/>
      <c r="H1467" s="142"/>
      <c r="I1467" s="23" t="s">
        <v>1584</v>
      </c>
      <c r="J1467" s="223"/>
    </row>
    <row r="1468" spans="1:10" s="144" customFormat="1" ht="12.75" x14ac:dyDescent="0.25">
      <c r="A1468" s="21">
        <v>525301543</v>
      </c>
      <c r="B1468" s="22" t="s">
        <v>2984</v>
      </c>
      <c r="C1468" s="10" t="s">
        <v>241</v>
      </c>
      <c r="D1468" s="10" t="s">
        <v>2985</v>
      </c>
      <c r="E1468" s="10" t="s">
        <v>2301</v>
      </c>
      <c r="F1468" s="142"/>
      <c r="G1468" s="142"/>
      <c r="H1468" s="142"/>
      <c r="I1468" s="23" t="s">
        <v>262</v>
      </c>
      <c r="J1468" s="223"/>
    </row>
    <row r="1469" spans="1:10" s="144" customFormat="1" ht="12.75" x14ac:dyDescent="0.25">
      <c r="A1469" s="7">
        <v>636015619</v>
      </c>
      <c r="B1469" s="22" t="s">
        <v>2986</v>
      </c>
      <c r="C1469" s="142">
        <v>174</v>
      </c>
      <c r="D1469" s="142">
        <v>20058</v>
      </c>
      <c r="E1469" s="142">
        <v>9.8000000000000007</v>
      </c>
      <c r="F1469" s="142"/>
      <c r="G1469" s="142"/>
      <c r="H1469" s="142"/>
      <c r="I1469" s="143"/>
      <c r="J1469" s="223"/>
    </row>
    <row r="1470" spans="1:10" s="144" customFormat="1" ht="12.75" x14ac:dyDescent="0.25">
      <c r="A1470" s="7">
        <v>525200009</v>
      </c>
      <c r="B1470" s="22" t="s">
        <v>2987</v>
      </c>
      <c r="C1470" s="10" t="s">
        <v>1981</v>
      </c>
      <c r="D1470" s="10" t="s">
        <v>2989</v>
      </c>
      <c r="E1470" s="10" t="s">
        <v>2991</v>
      </c>
      <c r="F1470" s="142"/>
      <c r="G1470" s="142"/>
      <c r="H1470" s="142"/>
      <c r="I1470" s="143"/>
      <c r="J1470" s="223"/>
    </row>
    <row r="1471" spans="1:10" s="144" customFormat="1" ht="12.75" x14ac:dyDescent="0.25">
      <c r="A1471" s="7">
        <v>525900854</v>
      </c>
      <c r="B1471" s="22" t="s">
        <v>2988</v>
      </c>
      <c r="C1471" s="10" t="s">
        <v>2129</v>
      </c>
      <c r="D1471" s="10" t="s">
        <v>2990</v>
      </c>
      <c r="E1471" s="10" t="s">
        <v>2549</v>
      </c>
      <c r="F1471" s="142"/>
      <c r="G1471" s="142"/>
      <c r="H1471" s="142"/>
      <c r="I1471" s="143"/>
      <c r="J1471" s="223"/>
    </row>
    <row r="1472" spans="1:10" s="144" customFormat="1" ht="12.75" x14ac:dyDescent="0.25">
      <c r="A1472" s="7">
        <v>525117026</v>
      </c>
      <c r="B1472" s="22" t="s">
        <v>2992</v>
      </c>
      <c r="C1472" s="10" t="s">
        <v>1591</v>
      </c>
      <c r="D1472" s="10" t="s">
        <v>2993</v>
      </c>
      <c r="E1472" s="40" t="s">
        <v>492</v>
      </c>
      <c r="F1472" s="10"/>
      <c r="G1472" s="10"/>
      <c r="H1472" s="10"/>
      <c r="I1472" s="23"/>
      <c r="J1472" s="223"/>
    </row>
    <row r="1473" spans="1:10" s="144" customFormat="1" ht="12.75" x14ac:dyDescent="0.25">
      <c r="A1473" s="7">
        <v>525701926</v>
      </c>
      <c r="B1473" s="22" t="s">
        <v>2994</v>
      </c>
      <c r="C1473" s="10" t="s">
        <v>1472</v>
      </c>
      <c r="D1473" s="10" t="s">
        <v>2995</v>
      </c>
      <c r="E1473" s="10" t="s">
        <v>2996</v>
      </c>
      <c r="F1473" s="10"/>
      <c r="G1473" s="10"/>
      <c r="H1473" s="10"/>
      <c r="I1473" s="23"/>
      <c r="J1473" s="223"/>
    </row>
    <row r="1474" spans="1:10" s="144" customFormat="1" ht="12.75" x14ac:dyDescent="0.25">
      <c r="A1474" s="7">
        <v>525011084</v>
      </c>
      <c r="B1474" s="22" t="s">
        <v>2997</v>
      </c>
      <c r="C1474" s="10"/>
      <c r="D1474" s="10"/>
      <c r="E1474" s="10"/>
      <c r="F1474" s="10"/>
      <c r="G1474" s="10"/>
      <c r="H1474" s="10"/>
      <c r="I1474" s="23"/>
      <c r="J1474" s="223"/>
    </row>
    <row r="1475" spans="1:10" s="144" customFormat="1" ht="12.75" x14ac:dyDescent="0.25">
      <c r="A1475" s="7">
        <v>525701531</v>
      </c>
      <c r="B1475" s="22" t="s">
        <v>2998</v>
      </c>
      <c r="C1475" s="10">
        <v>80</v>
      </c>
      <c r="D1475" s="10">
        <v>1997</v>
      </c>
      <c r="E1475" s="10">
        <v>5.2</v>
      </c>
      <c r="F1475" s="10"/>
      <c r="G1475" s="10"/>
      <c r="H1475" s="10"/>
      <c r="I1475" s="23"/>
      <c r="J1475" s="223"/>
    </row>
    <row r="1476" spans="1:10" s="144" customFormat="1" ht="12.75" x14ac:dyDescent="0.25">
      <c r="A1476" s="7">
        <v>525200422</v>
      </c>
      <c r="B1476" s="22" t="s">
        <v>2999</v>
      </c>
      <c r="C1476" s="10" t="s">
        <v>615</v>
      </c>
      <c r="D1476" s="10" t="s">
        <v>2670</v>
      </c>
      <c r="E1476" s="40" t="s">
        <v>436</v>
      </c>
      <c r="F1476" s="10"/>
      <c r="G1476" s="10"/>
      <c r="H1476" s="10"/>
      <c r="I1476" s="23"/>
      <c r="J1476" s="223"/>
    </row>
    <row r="1477" spans="1:10" s="144" customFormat="1" ht="12.75" x14ac:dyDescent="0.25">
      <c r="A1477" s="21">
        <v>525201901</v>
      </c>
      <c r="B1477" s="22" t="s">
        <v>3000</v>
      </c>
      <c r="C1477" s="10">
        <v>38</v>
      </c>
      <c r="D1477" s="10">
        <v>256</v>
      </c>
      <c r="E1477" s="10" t="s">
        <v>138</v>
      </c>
      <c r="F1477" s="10"/>
      <c r="G1477" s="10"/>
      <c r="H1477" s="10"/>
      <c r="I1477" s="23"/>
      <c r="J1477" s="223"/>
    </row>
    <row r="1478" spans="1:10" s="144" customFormat="1" ht="12.75" x14ac:dyDescent="0.25">
      <c r="A1478" s="7">
        <v>525008068</v>
      </c>
      <c r="B1478" s="217" t="s">
        <v>3001</v>
      </c>
      <c r="C1478" s="218">
        <v>103</v>
      </c>
      <c r="D1478" s="218">
        <v>5006</v>
      </c>
      <c r="E1478" s="218">
        <v>5.3</v>
      </c>
      <c r="F1478" s="218"/>
      <c r="G1478" s="218"/>
      <c r="H1478" s="218"/>
      <c r="I1478" s="219"/>
      <c r="J1478" s="223"/>
    </row>
    <row r="1479" spans="1:10" s="144" customFormat="1" ht="12.75" x14ac:dyDescent="0.25">
      <c r="A1479" s="7">
        <v>525801064</v>
      </c>
      <c r="B1479" s="217" t="s">
        <v>3002</v>
      </c>
      <c r="C1479" s="218">
        <v>129</v>
      </c>
      <c r="D1479" s="218">
        <v>8547</v>
      </c>
      <c r="E1479" s="10" t="s">
        <v>101</v>
      </c>
      <c r="F1479" s="218"/>
      <c r="G1479" s="218"/>
      <c r="H1479" s="218"/>
      <c r="I1479" s="23" t="s">
        <v>3026</v>
      </c>
      <c r="J1479" s="223"/>
    </row>
    <row r="1480" spans="1:10" s="144" customFormat="1" ht="12.75" x14ac:dyDescent="0.25">
      <c r="A1480" s="7">
        <v>525006415</v>
      </c>
      <c r="B1480" s="217" t="s">
        <v>3003</v>
      </c>
      <c r="C1480" s="218">
        <v>97</v>
      </c>
      <c r="D1480" s="218">
        <v>4157</v>
      </c>
      <c r="E1480" s="218">
        <v>6.7</v>
      </c>
      <c r="F1480" s="218"/>
      <c r="G1480" s="218"/>
      <c r="H1480" s="218"/>
      <c r="I1480" s="219"/>
      <c r="J1480" s="223"/>
    </row>
    <row r="1481" spans="1:10" s="144" customFormat="1" ht="12.75" x14ac:dyDescent="0.25">
      <c r="A1481" s="7">
        <v>525023054</v>
      </c>
      <c r="B1481" s="22" t="s">
        <v>3004</v>
      </c>
      <c r="C1481" s="218">
        <v>47</v>
      </c>
      <c r="D1481" s="218">
        <v>789</v>
      </c>
      <c r="E1481" s="218">
        <v>4</v>
      </c>
      <c r="F1481" s="218"/>
      <c r="G1481" s="218"/>
      <c r="H1481" s="218"/>
      <c r="I1481" s="219"/>
      <c r="J1481" s="223"/>
    </row>
    <row r="1482" spans="1:10" s="144" customFormat="1" ht="12.75" x14ac:dyDescent="0.25">
      <c r="A1482" s="7">
        <v>525019530</v>
      </c>
      <c r="B1482" s="22" t="s">
        <v>3005</v>
      </c>
      <c r="C1482" s="218">
        <v>73</v>
      </c>
      <c r="D1482" s="218">
        <v>1342</v>
      </c>
      <c r="E1482" s="218">
        <v>3.8</v>
      </c>
      <c r="F1482" s="218"/>
      <c r="G1482" s="218"/>
      <c r="H1482" s="218"/>
      <c r="I1482" s="219"/>
      <c r="J1482" s="223"/>
    </row>
    <row r="1483" spans="1:10" s="144" customFormat="1" ht="12.75" x14ac:dyDescent="0.25">
      <c r="A1483" s="7">
        <v>525300091</v>
      </c>
      <c r="B1483" s="217" t="s">
        <v>3006</v>
      </c>
      <c r="C1483" s="218" t="s">
        <v>1164</v>
      </c>
      <c r="D1483" s="218" t="s">
        <v>3007</v>
      </c>
      <c r="E1483" s="218" t="s">
        <v>1658</v>
      </c>
      <c r="F1483" s="218"/>
      <c r="G1483" s="218"/>
      <c r="H1483" s="218"/>
      <c r="I1483" s="219" t="s">
        <v>46</v>
      </c>
      <c r="J1483" s="223"/>
    </row>
    <row r="1484" spans="1:10" s="144" customFormat="1" ht="12.75" x14ac:dyDescent="0.25">
      <c r="A1484" s="7">
        <v>525012132</v>
      </c>
      <c r="B1484" s="22" t="s">
        <v>3442</v>
      </c>
      <c r="C1484" s="10" t="s">
        <v>3443</v>
      </c>
      <c r="D1484" s="10" t="s">
        <v>3444</v>
      </c>
      <c r="E1484" s="10" t="s">
        <v>3657</v>
      </c>
      <c r="F1484" s="218"/>
      <c r="G1484" s="218"/>
      <c r="H1484" s="218"/>
      <c r="I1484" s="23" t="s">
        <v>1432</v>
      </c>
      <c r="J1484" s="223"/>
    </row>
    <row r="1485" spans="1:10" s="144" customFormat="1" ht="12.75" x14ac:dyDescent="0.25">
      <c r="A1485" s="7">
        <v>314486000</v>
      </c>
      <c r="B1485" s="217" t="s">
        <v>3008</v>
      </c>
      <c r="C1485" s="218">
        <v>200</v>
      </c>
      <c r="D1485" s="218">
        <v>35596</v>
      </c>
      <c r="E1485" s="218">
        <v>10.8</v>
      </c>
      <c r="F1485" s="218"/>
      <c r="G1485" s="218"/>
      <c r="H1485" s="218"/>
      <c r="I1485" s="219"/>
      <c r="J1485" s="223"/>
    </row>
    <row r="1486" spans="1:10" s="144" customFormat="1" ht="12.75" x14ac:dyDescent="0.25">
      <c r="A1486" s="7">
        <v>525007029</v>
      </c>
      <c r="B1486" s="22" t="s">
        <v>3009</v>
      </c>
      <c r="C1486" s="218">
        <v>89</v>
      </c>
      <c r="D1486" s="218">
        <v>2755</v>
      </c>
      <c r="E1486" s="218">
        <v>4.9000000000000004</v>
      </c>
      <c r="F1486" s="218"/>
      <c r="G1486" s="218"/>
      <c r="H1486" s="218"/>
      <c r="I1486" s="219"/>
      <c r="J1486" s="223"/>
    </row>
    <row r="1487" spans="1:10" s="144" customFormat="1" ht="12.75" x14ac:dyDescent="0.25">
      <c r="A1487" s="7">
        <v>525601445</v>
      </c>
      <c r="B1487" s="22" t="s">
        <v>3010</v>
      </c>
      <c r="C1487" s="10" t="s">
        <v>1937</v>
      </c>
      <c r="D1487" s="10" t="s">
        <v>3011</v>
      </c>
      <c r="E1487" s="10" t="s">
        <v>1388</v>
      </c>
      <c r="F1487" s="218"/>
      <c r="G1487" s="218"/>
      <c r="H1487" s="218"/>
      <c r="I1487" s="219"/>
      <c r="J1487" s="223"/>
    </row>
    <row r="1488" spans="1:10" s="144" customFormat="1" ht="12.75" x14ac:dyDescent="0.25">
      <c r="A1488" s="7">
        <v>525801364</v>
      </c>
      <c r="B1488" s="22" t="s">
        <v>3012</v>
      </c>
      <c r="C1488" s="10" t="s">
        <v>1652</v>
      </c>
      <c r="D1488" s="10" t="s">
        <v>2598</v>
      </c>
      <c r="E1488" s="10" t="s">
        <v>2549</v>
      </c>
      <c r="F1488" s="218"/>
      <c r="G1488" s="218"/>
      <c r="H1488" s="218"/>
      <c r="I1488" s="219"/>
      <c r="J1488" s="223"/>
    </row>
    <row r="1489" spans="1:10" s="144" customFormat="1" ht="12.75" x14ac:dyDescent="0.25">
      <c r="A1489" s="7">
        <v>525023345</v>
      </c>
      <c r="B1489" s="22" t="s">
        <v>3013</v>
      </c>
      <c r="C1489" s="10" t="s">
        <v>3014</v>
      </c>
      <c r="D1489" s="10" t="s">
        <v>1665</v>
      </c>
      <c r="E1489" s="10" t="s">
        <v>1060</v>
      </c>
      <c r="F1489" s="10"/>
      <c r="G1489" s="10"/>
      <c r="H1489" s="10"/>
      <c r="I1489" s="23" t="s">
        <v>46</v>
      </c>
      <c r="J1489" s="223"/>
    </row>
    <row r="1490" spans="1:10" s="144" customFormat="1" ht="12.75" x14ac:dyDescent="0.25">
      <c r="A1490" s="7">
        <v>525023326</v>
      </c>
      <c r="B1490" s="22" t="s">
        <v>3015</v>
      </c>
      <c r="C1490" s="10">
        <v>67</v>
      </c>
      <c r="D1490" s="10">
        <v>996</v>
      </c>
      <c r="E1490" s="10" t="s">
        <v>1874</v>
      </c>
      <c r="F1490" s="10"/>
      <c r="G1490" s="10"/>
      <c r="H1490" s="10"/>
      <c r="I1490" s="23" t="s">
        <v>92</v>
      </c>
      <c r="J1490" s="223"/>
    </row>
    <row r="1491" spans="1:10" s="144" customFormat="1" ht="12.75" x14ac:dyDescent="0.25">
      <c r="A1491" s="7">
        <v>525701215</v>
      </c>
      <c r="B1491" s="22" t="s">
        <v>3020</v>
      </c>
      <c r="C1491" s="10" t="s">
        <v>3027</v>
      </c>
      <c r="D1491" s="10" t="s">
        <v>3565</v>
      </c>
      <c r="E1491" s="10" t="s">
        <v>3705</v>
      </c>
      <c r="F1491" s="10"/>
      <c r="G1491" s="10"/>
      <c r="H1491" s="10"/>
      <c r="I1491" s="23" t="s">
        <v>249</v>
      </c>
      <c r="J1491" s="223"/>
    </row>
    <row r="1492" spans="1:10" s="144" customFormat="1" ht="12.75" x14ac:dyDescent="0.25">
      <c r="A1492" s="7">
        <v>525200219</v>
      </c>
      <c r="B1492" s="22" t="s">
        <v>3023</v>
      </c>
      <c r="C1492" s="10" t="s">
        <v>3024</v>
      </c>
      <c r="D1492" s="10" t="s">
        <v>3025</v>
      </c>
      <c r="E1492" s="10" t="s">
        <v>2596</v>
      </c>
      <c r="F1492" s="10"/>
      <c r="G1492" s="10"/>
      <c r="H1492" s="10"/>
      <c r="I1492" s="23" t="s">
        <v>3026</v>
      </c>
      <c r="J1492" s="223"/>
    </row>
    <row r="1493" spans="1:10" s="144" customFormat="1" ht="12.75" x14ac:dyDescent="0.25">
      <c r="A1493" s="7">
        <v>352003987</v>
      </c>
      <c r="B1493" s="18" t="s">
        <v>3022</v>
      </c>
      <c r="C1493" s="10">
        <v>200</v>
      </c>
      <c r="D1493" s="10">
        <v>38287</v>
      </c>
      <c r="E1493" s="10" t="s">
        <v>1874</v>
      </c>
      <c r="F1493" s="10"/>
      <c r="G1493" s="10"/>
      <c r="H1493" s="10"/>
      <c r="I1493" s="23" t="s">
        <v>248</v>
      </c>
      <c r="J1493" s="223"/>
    </row>
    <row r="1494" spans="1:10" s="144" customFormat="1" ht="12.75" x14ac:dyDescent="0.25">
      <c r="A1494" s="7">
        <v>525201265</v>
      </c>
      <c r="B1494" s="22" t="s">
        <v>3517</v>
      </c>
      <c r="C1494" s="10" t="s">
        <v>3027</v>
      </c>
      <c r="D1494" s="10" t="s">
        <v>2626</v>
      </c>
      <c r="E1494" s="10" t="s">
        <v>3518</v>
      </c>
      <c r="F1494" s="10"/>
      <c r="G1494" s="10"/>
      <c r="H1494" s="10"/>
      <c r="I1494" s="23" t="s">
        <v>3026</v>
      </c>
      <c r="J1494" s="223"/>
    </row>
    <row r="1495" spans="1:10" s="144" customFormat="1" ht="12.75" x14ac:dyDescent="0.25">
      <c r="A1495" s="7">
        <v>525023194</v>
      </c>
      <c r="B1495" s="22" t="s">
        <v>3029</v>
      </c>
      <c r="C1495" s="10" t="s">
        <v>3030</v>
      </c>
      <c r="D1495" s="10" t="s">
        <v>3031</v>
      </c>
      <c r="E1495" s="10" t="s">
        <v>3032</v>
      </c>
      <c r="F1495" s="10"/>
      <c r="G1495" s="10"/>
      <c r="H1495" s="10"/>
      <c r="I1495" s="23" t="s">
        <v>46</v>
      </c>
      <c r="J1495" s="223"/>
    </row>
    <row r="1496" spans="1:10" s="144" customFormat="1" ht="12.75" x14ac:dyDescent="0.25">
      <c r="A1496" s="7">
        <v>357231000</v>
      </c>
      <c r="B1496" s="22" t="s">
        <v>3034</v>
      </c>
      <c r="C1496" s="10">
        <v>234</v>
      </c>
      <c r="D1496" s="10">
        <v>34610</v>
      </c>
      <c r="E1496" s="10" t="s">
        <v>971</v>
      </c>
      <c r="F1496" s="10"/>
      <c r="G1496" s="10"/>
      <c r="H1496" s="10"/>
      <c r="I1496" s="23" t="s">
        <v>71</v>
      </c>
      <c r="J1496" s="223"/>
    </row>
    <row r="1497" spans="1:10" s="144" customFormat="1" ht="12.75" x14ac:dyDescent="0.25">
      <c r="A1497" s="7">
        <v>525015175</v>
      </c>
      <c r="B1497" s="22" t="s">
        <v>3036</v>
      </c>
      <c r="C1497" s="10">
        <v>96</v>
      </c>
      <c r="D1497" s="10">
        <v>2996</v>
      </c>
      <c r="E1497" s="10" t="s">
        <v>902</v>
      </c>
      <c r="F1497" s="10"/>
      <c r="G1497" s="10"/>
      <c r="H1497" s="10"/>
      <c r="I1497" s="23"/>
      <c r="J1497" s="223"/>
    </row>
    <row r="1498" spans="1:10" s="144" customFormat="1" ht="12.75" x14ac:dyDescent="0.25">
      <c r="A1498" s="7">
        <v>525003502</v>
      </c>
      <c r="B1498" s="22" t="s">
        <v>3039</v>
      </c>
      <c r="C1498" s="10" t="s">
        <v>3073</v>
      </c>
      <c r="D1498" s="10" t="s">
        <v>3074</v>
      </c>
      <c r="E1498" s="40" t="s">
        <v>2596</v>
      </c>
      <c r="F1498" s="10"/>
      <c r="G1498" s="10"/>
      <c r="H1498" s="10"/>
      <c r="I1498" s="23" t="s">
        <v>1448</v>
      </c>
      <c r="J1498" s="223"/>
    </row>
    <row r="1499" spans="1:10" s="144" customFormat="1" ht="12.75" x14ac:dyDescent="0.25">
      <c r="A1499" s="7">
        <v>563013500</v>
      </c>
      <c r="B1499" s="22" t="s">
        <v>3037</v>
      </c>
      <c r="C1499" s="10">
        <v>190</v>
      </c>
      <c r="D1499" s="10">
        <v>32505</v>
      </c>
      <c r="E1499" s="10" t="s">
        <v>3040</v>
      </c>
      <c r="F1499" s="10"/>
      <c r="G1499" s="10"/>
      <c r="H1499" s="10"/>
      <c r="I1499" s="23" t="s">
        <v>71</v>
      </c>
      <c r="J1499" s="223"/>
    </row>
    <row r="1500" spans="1:10" s="144" customFormat="1" ht="12.75" x14ac:dyDescent="0.25">
      <c r="A1500" s="7">
        <v>525014013</v>
      </c>
      <c r="B1500" s="22" t="s">
        <v>3035</v>
      </c>
      <c r="C1500" s="10">
        <v>98</v>
      </c>
      <c r="D1500" s="10">
        <v>2434</v>
      </c>
      <c r="E1500" s="10" t="s">
        <v>795</v>
      </c>
      <c r="F1500" s="10"/>
      <c r="G1500" s="10"/>
      <c r="H1500" s="10"/>
      <c r="I1500" s="23" t="s">
        <v>1707</v>
      </c>
      <c r="J1500" s="223"/>
    </row>
    <row r="1501" spans="1:10" s="144" customFormat="1" ht="12.75" x14ac:dyDescent="0.25">
      <c r="A1501" s="7">
        <v>525401487</v>
      </c>
      <c r="B1501" s="22" t="s">
        <v>3043</v>
      </c>
      <c r="C1501" s="10" t="s">
        <v>3041</v>
      </c>
      <c r="D1501" s="10" t="s">
        <v>3042</v>
      </c>
      <c r="E1501" s="10" t="s">
        <v>1060</v>
      </c>
      <c r="F1501" s="10"/>
      <c r="G1501" s="10"/>
      <c r="H1501" s="10"/>
      <c r="I1501" s="23" t="s">
        <v>3038</v>
      </c>
      <c r="J1501" s="223"/>
    </row>
    <row r="1502" spans="1:10" s="144" customFormat="1" ht="12.75" x14ac:dyDescent="0.25">
      <c r="A1502" s="7">
        <v>636019313</v>
      </c>
      <c r="B1502" s="22" t="s">
        <v>3045</v>
      </c>
      <c r="C1502" s="10">
        <v>179</v>
      </c>
      <c r="D1502" s="97">
        <v>22127</v>
      </c>
      <c r="E1502" s="10" t="s">
        <v>952</v>
      </c>
      <c r="F1502" s="10"/>
      <c r="G1502" s="10"/>
      <c r="H1502" s="10"/>
      <c r="I1502" s="23" t="s">
        <v>273</v>
      </c>
      <c r="J1502" s="223"/>
    </row>
    <row r="1503" spans="1:10" s="144" customFormat="1" ht="12.75" x14ac:dyDescent="0.25">
      <c r="A1503" s="7">
        <v>525801658</v>
      </c>
      <c r="B1503" s="22" t="s">
        <v>3046</v>
      </c>
      <c r="C1503" s="10" t="s">
        <v>1164</v>
      </c>
      <c r="D1503" s="10" t="s">
        <v>3047</v>
      </c>
      <c r="E1503" s="10" t="s">
        <v>3278</v>
      </c>
      <c r="F1503" s="10"/>
      <c r="G1503" s="10"/>
      <c r="H1503" s="10"/>
      <c r="I1503" s="23" t="s">
        <v>1584</v>
      </c>
      <c r="J1503" s="223"/>
    </row>
    <row r="1504" spans="1:10" s="144" customFormat="1" ht="12.75" x14ac:dyDescent="0.25">
      <c r="A1504" s="7">
        <v>525801349</v>
      </c>
      <c r="B1504" s="22" t="s">
        <v>3048</v>
      </c>
      <c r="C1504" s="10" t="s">
        <v>3049</v>
      </c>
      <c r="D1504" s="10" t="s">
        <v>2383</v>
      </c>
      <c r="E1504" s="10" t="s">
        <v>3050</v>
      </c>
      <c r="F1504" s="10"/>
      <c r="G1504" s="10"/>
      <c r="H1504" s="10"/>
      <c r="I1504" s="23" t="s">
        <v>1553</v>
      </c>
      <c r="J1504" s="223"/>
    </row>
    <row r="1505" spans="1:10" s="144" customFormat="1" ht="12.75" x14ac:dyDescent="0.25">
      <c r="A1505" s="7">
        <v>525300615</v>
      </c>
      <c r="B1505" s="22" t="s">
        <v>3051</v>
      </c>
      <c r="C1505" s="10" t="s">
        <v>3027</v>
      </c>
      <c r="D1505" s="10" t="s">
        <v>2092</v>
      </c>
      <c r="E1505" s="10" t="s">
        <v>3056</v>
      </c>
      <c r="F1505" s="10"/>
      <c r="G1505" s="10"/>
      <c r="H1505" s="10"/>
      <c r="I1505" s="23" t="s">
        <v>249</v>
      </c>
      <c r="J1505" s="223"/>
    </row>
    <row r="1506" spans="1:10" s="144" customFormat="1" ht="12.75" x14ac:dyDescent="0.25">
      <c r="A1506" s="7">
        <v>538006000</v>
      </c>
      <c r="B1506" s="22" t="s">
        <v>3053</v>
      </c>
      <c r="C1506" s="10">
        <v>229</v>
      </c>
      <c r="D1506" s="10">
        <v>45229</v>
      </c>
      <c r="E1506" s="10" t="s">
        <v>1780</v>
      </c>
      <c r="F1506" s="10"/>
      <c r="G1506" s="10"/>
      <c r="H1506" s="10"/>
      <c r="I1506" s="23" t="s">
        <v>150</v>
      </c>
      <c r="J1506" s="223"/>
    </row>
    <row r="1507" spans="1:10" s="144" customFormat="1" ht="12.75" x14ac:dyDescent="0.25">
      <c r="A1507" s="7">
        <v>567250700</v>
      </c>
      <c r="B1507" s="22" t="s">
        <v>3059</v>
      </c>
      <c r="C1507" s="10">
        <v>229</v>
      </c>
      <c r="D1507" s="10">
        <v>43471</v>
      </c>
      <c r="E1507" s="10" t="s">
        <v>1152</v>
      </c>
      <c r="F1507" s="10"/>
      <c r="G1507" s="10"/>
      <c r="H1507" s="10"/>
      <c r="I1507" s="23" t="s">
        <v>273</v>
      </c>
      <c r="J1507" s="223"/>
    </row>
    <row r="1508" spans="1:10" s="144" customFormat="1" ht="12.75" x14ac:dyDescent="0.25">
      <c r="A1508" s="7">
        <v>525301555</v>
      </c>
      <c r="B1508" s="22" t="s">
        <v>3060</v>
      </c>
      <c r="C1508" s="10" t="s">
        <v>3061</v>
      </c>
      <c r="D1508" s="10" t="s">
        <v>3057</v>
      </c>
      <c r="E1508" s="10" t="s">
        <v>2596</v>
      </c>
      <c r="F1508" s="10"/>
      <c r="G1508" s="10"/>
      <c r="H1508" s="10"/>
      <c r="I1508" s="23" t="s">
        <v>92</v>
      </c>
      <c r="J1508" s="223"/>
    </row>
    <row r="1509" spans="1:10" s="144" customFormat="1" ht="12.75" x14ac:dyDescent="0.25">
      <c r="A1509" s="7">
        <v>525015863</v>
      </c>
      <c r="B1509" s="22" t="s">
        <v>3062</v>
      </c>
      <c r="C1509" s="10" t="s">
        <v>3063</v>
      </c>
      <c r="D1509" s="10" t="s">
        <v>3064</v>
      </c>
      <c r="E1509" s="10" t="s">
        <v>855</v>
      </c>
      <c r="F1509" s="10"/>
      <c r="G1509" s="10"/>
      <c r="H1509" s="10"/>
      <c r="I1509" s="23" t="s">
        <v>46</v>
      </c>
      <c r="J1509" s="223"/>
    </row>
    <row r="1510" spans="1:10" s="144" customFormat="1" ht="12.75" x14ac:dyDescent="0.25">
      <c r="A1510" s="7">
        <v>525701366</v>
      </c>
      <c r="B1510" s="22" t="s">
        <v>3065</v>
      </c>
      <c r="C1510" s="10" t="s">
        <v>1164</v>
      </c>
      <c r="D1510" s="10" t="s">
        <v>3058</v>
      </c>
      <c r="E1510" s="10" t="s">
        <v>855</v>
      </c>
      <c r="F1510" s="10"/>
      <c r="G1510" s="10"/>
      <c r="H1510" s="10"/>
      <c r="I1510" s="23" t="s">
        <v>46</v>
      </c>
      <c r="J1510" s="223"/>
    </row>
    <row r="1511" spans="1:10" s="144" customFormat="1" ht="12.75" x14ac:dyDescent="0.25">
      <c r="A1511" s="7">
        <v>525020217</v>
      </c>
      <c r="B1511" s="22" t="s">
        <v>3579</v>
      </c>
      <c r="C1511" s="10" t="s">
        <v>3580</v>
      </c>
      <c r="D1511" s="10" t="s">
        <v>3581</v>
      </c>
      <c r="E1511" s="10" t="s">
        <v>3582</v>
      </c>
      <c r="F1511" s="218"/>
      <c r="G1511" s="218"/>
      <c r="H1511" s="218"/>
      <c r="I1511" s="219" t="s">
        <v>39</v>
      </c>
      <c r="J1511" s="223"/>
    </row>
    <row r="1512" spans="1:10" s="144" customFormat="1" ht="12.75" x14ac:dyDescent="0.25">
      <c r="A1512" s="7">
        <v>525801790</v>
      </c>
      <c r="B1512" s="22" t="s">
        <v>3068</v>
      </c>
      <c r="C1512" s="10">
        <v>130</v>
      </c>
      <c r="D1512" s="10">
        <v>6349</v>
      </c>
      <c r="E1512" s="10" t="s">
        <v>955</v>
      </c>
      <c r="F1512" s="10"/>
      <c r="G1512" s="10"/>
      <c r="H1512" s="10"/>
      <c r="I1512" s="23" t="s">
        <v>46</v>
      </c>
      <c r="J1512" s="223"/>
    </row>
    <row r="1513" spans="1:10" s="144" customFormat="1" ht="12.75" x14ac:dyDescent="0.25">
      <c r="A1513" s="7">
        <v>353007000</v>
      </c>
      <c r="B1513" s="22" t="s">
        <v>3076</v>
      </c>
      <c r="C1513" s="218">
        <v>120</v>
      </c>
      <c r="D1513" s="218">
        <v>6961</v>
      </c>
      <c r="E1513" s="10" t="s">
        <v>141</v>
      </c>
      <c r="F1513" s="218"/>
      <c r="G1513" s="218"/>
      <c r="H1513" s="218"/>
      <c r="I1513" s="23" t="s">
        <v>262</v>
      </c>
      <c r="J1513" s="223"/>
    </row>
    <row r="1514" spans="1:10" s="144" customFormat="1" ht="12.75" x14ac:dyDescent="0.25">
      <c r="A1514" s="7">
        <v>525004043</v>
      </c>
      <c r="B1514" s="22" t="s">
        <v>3077</v>
      </c>
      <c r="C1514" s="10" t="s">
        <v>3078</v>
      </c>
      <c r="D1514" s="10" t="s">
        <v>3079</v>
      </c>
      <c r="E1514" s="10" t="s">
        <v>3080</v>
      </c>
      <c r="F1514" s="218"/>
      <c r="G1514" s="218"/>
      <c r="H1514" s="218"/>
      <c r="I1514" s="23" t="s">
        <v>2002</v>
      </c>
      <c r="J1514" s="223"/>
    </row>
    <row r="1515" spans="1:10" s="144" customFormat="1" ht="12.75" x14ac:dyDescent="0.25">
      <c r="A1515" s="7">
        <v>525201015</v>
      </c>
      <c r="B1515" s="22" t="s">
        <v>3081</v>
      </c>
      <c r="C1515" s="10" t="s">
        <v>3083</v>
      </c>
      <c r="D1515" s="10" t="s">
        <v>3082</v>
      </c>
      <c r="E1515" s="10" t="s">
        <v>1915</v>
      </c>
      <c r="F1515" s="218"/>
      <c r="G1515" s="218"/>
      <c r="H1515" s="218"/>
      <c r="I1515" s="23" t="s">
        <v>71</v>
      </c>
      <c r="J1515" s="223"/>
    </row>
    <row r="1516" spans="1:10" s="144" customFormat="1" ht="12.75" x14ac:dyDescent="0.25">
      <c r="A1516" s="7">
        <v>525301520</v>
      </c>
      <c r="B1516" s="22" t="s">
        <v>3084</v>
      </c>
      <c r="C1516" s="10" t="s">
        <v>3354</v>
      </c>
      <c r="D1516" s="10" t="s">
        <v>3085</v>
      </c>
      <c r="E1516" s="10" t="s">
        <v>1385</v>
      </c>
      <c r="F1516" s="218"/>
      <c r="G1516" s="218"/>
      <c r="H1516" s="218"/>
      <c r="I1516" s="23" t="s">
        <v>71</v>
      </c>
      <c r="J1516" s="223"/>
    </row>
    <row r="1517" spans="1:10" s="144" customFormat="1" ht="12.75" x14ac:dyDescent="0.25">
      <c r="A1517" s="7">
        <v>525500156</v>
      </c>
      <c r="B1517" s="22" t="s">
        <v>3086</v>
      </c>
      <c r="C1517" s="10" t="s">
        <v>3087</v>
      </c>
      <c r="D1517" s="10" t="s">
        <v>3088</v>
      </c>
      <c r="E1517" s="10" t="s">
        <v>3089</v>
      </c>
      <c r="F1517" s="218"/>
      <c r="G1517" s="218"/>
      <c r="H1517" s="218"/>
      <c r="I1517" s="23" t="s">
        <v>3038</v>
      </c>
      <c r="J1517" s="223"/>
    </row>
    <row r="1518" spans="1:10" s="144" customFormat="1" ht="12.75" x14ac:dyDescent="0.25">
      <c r="A1518" s="7">
        <v>525018005</v>
      </c>
      <c r="B1518" s="217" t="s">
        <v>3092</v>
      </c>
      <c r="C1518" s="7">
        <v>110</v>
      </c>
      <c r="D1518" s="7">
        <v>7473</v>
      </c>
      <c r="E1518" s="7">
        <v>4.9000000000000004</v>
      </c>
      <c r="F1518" s="218"/>
      <c r="G1518" s="218"/>
      <c r="H1518" s="218"/>
      <c r="I1518" s="23" t="s">
        <v>71</v>
      </c>
      <c r="J1518" s="223"/>
    </row>
    <row r="1519" spans="1:10" s="144" customFormat="1" ht="12.75" x14ac:dyDescent="0.25">
      <c r="A1519" s="7">
        <v>525015358</v>
      </c>
      <c r="B1519" s="18" t="s">
        <v>3093</v>
      </c>
      <c r="C1519" s="7" t="s">
        <v>1070</v>
      </c>
      <c r="D1519" s="7" t="s">
        <v>3104</v>
      </c>
      <c r="E1519" s="7" t="s">
        <v>3107</v>
      </c>
      <c r="F1519" s="218"/>
      <c r="G1519" s="218"/>
      <c r="H1519" s="218"/>
      <c r="I1519" s="23" t="s">
        <v>3038</v>
      </c>
      <c r="J1519" s="223"/>
    </row>
    <row r="1520" spans="1:10" s="144" customFormat="1" ht="12.75" x14ac:dyDescent="0.25">
      <c r="A1520" s="7">
        <v>525300578</v>
      </c>
      <c r="B1520" s="18" t="s">
        <v>3094</v>
      </c>
      <c r="C1520" s="7" t="s">
        <v>3100</v>
      </c>
      <c r="D1520" s="7" t="s">
        <v>3103</v>
      </c>
      <c r="E1520" s="7" t="s">
        <v>3106</v>
      </c>
      <c r="F1520" s="218"/>
      <c r="G1520" s="218"/>
      <c r="H1520" s="218"/>
      <c r="I1520" s="23" t="s">
        <v>46</v>
      </c>
      <c r="J1520" s="223"/>
    </row>
    <row r="1521" spans="1:10" s="144" customFormat="1" ht="12.75" x14ac:dyDescent="0.25">
      <c r="A1521" s="7">
        <v>636022881</v>
      </c>
      <c r="B1521" s="18" t="s">
        <v>3095</v>
      </c>
      <c r="C1521" s="7">
        <v>183</v>
      </c>
      <c r="D1521" s="7">
        <v>29295</v>
      </c>
      <c r="E1521" s="7">
        <v>6.7</v>
      </c>
      <c r="F1521" s="218"/>
      <c r="G1521" s="218"/>
      <c r="H1521" s="218"/>
      <c r="I1521" s="23" t="s">
        <v>1895</v>
      </c>
      <c r="J1521" s="223"/>
    </row>
    <row r="1522" spans="1:10" s="144" customFormat="1" ht="12.75" x14ac:dyDescent="0.25">
      <c r="A1522" s="7">
        <v>374275000</v>
      </c>
      <c r="B1522" s="18" t="s">
        <v>3096</v>
      </c>
      <c r="C1522" s="7">
        <v>179</v>
      </c>
      <c r="D1522" s="7">
        <v>23432</v>
      </c>
      <c r="E1522" s="7">
        <v>6.6</v>
      </c>
      <c r="F1522" s="10"/>
      <c r="G1522" s="10"/>
      <c r="H1522" s="10"/>
      <c r="I1522" s="23" t="s">
        <v>1553</v>
      </c>
      <c r="J1522" s="223"/>
    </row>
    <row r="1523" spans="1:10" s="144" customFormat="1" ht="15.75" x14ac:dyDescent="0.25">
      <c r="A1523" s="7">
        <v>353009000</v>
      </c>
      <c r="B1523" s="18" t="s">
        <v>3076</v>
      </c>
      <c r="C1523" s="192">
        <v>120</v>
      </c>
      <c r="D1523" s="192">
        <v>6961</v>
      </c>
      <c r="E1523" s="192">
        <v>8.1</v>
      </c>
      <c r="F1523" s="10"/>
      <c r="G1523" s="10"/>
      <c r="H1523" s="10"/>
      <c r="I1523" s="23" t="s">
        <v>262</v>
      </c>
      <c r="J1523" s="223"/>
    </row>
    <row r="1524" spans="1:10" s="144" customFormat="1" ht="15.75" x14ac:dyDescent="0.25">
      <c r="A1524" s="7">
        <v>525010100</v>
      </c>
      <c r="B1524" s="18" t="s">
        <v>3098</v>
      </c>
      <c r="C1524" s="192" t="s">
        <v>3101</v>
      </c>
      <c r="D1524" s="192" t="s">
        <v>3102</v>
      </c>
      <c r="E1524" s="192" t="s">
        <v>3105</v>
      </c>
      <c r="F1524" s="10"/>
      <c r="G1524" s="10"/>
      <c r="H1524" s="10"/>
      <c r="I1524" s="23" t="s">
        <v>39</v>
      </c>
      <c r="J1524" s="223"/>
    </row>
    <row r="1525" spans="1:10" s="144" customFormat="1" ht="15.75" x14ac:dyDescent="0.25">
      <c r="A1525" s="7">
        <v>636025095</v>
      </c>
      <c r="B1525" s="18" t="s">
        <v>3097</v>
      </c>
      <c r="C1525" s="192">
        <v>182</v>
      </c>
      <c r="D1525" s="192">
        <v>29447</v>
      </c>
      <c r="E1525" s="192">
        <v>8</v>
      </c>
      <c r="F1525" s="10"/>
      <c r="G1525" s="10"/>
      <c r="H1525" s="10"/>
      <c r="I1525" s="23" t="s">
        <v>160</v>
      </c>
      <c r="J1525" s="223"/>
    </row>
    <row r="1526" spans="1:10" s="144" customFormat="1" ht="15.75" x14ac:dyDescent="0.25">
      <c r="A1526" s="7">
        <v>525701464</v>
      </c>
      <c r="B1526" s="18" t="s">
        <v>3099</v>
      </c>
      <c r="C1526" s="192" t="s">
        <v>241</v>
      </c>
      <c r="D1526" s="192" t="s">
        <v>3058</v>
      </c>
      <c r="E1526" s="192" t="s">
        <v>2549</v>
      </c>
      <c r="F1526" s="10"/>
      <c r="G1526" s="10"/>
      <c r="H1526" s="10"/>
      <c r="I1526" s="23" t="s">
        <v>46</v>
      </c>
      <c r="J1526" s="223"/>
    </row>
    <row r="1527" spans="1:10" s="144" customFormat="1" ht="12.75" x14ac:dyDescent="0.25">
      <c r="A1527" s="7">
        <v>525021329</v>
      </c>
      <c r="B1527" s="18" t="s">
        <v>3108</v>
      </c>
      <c r="C1527" s="10" t="s">
        <v>3109</v>
      </c>
      <c r="D1527" s="10" t="s">
        <v>3110</v>
      </c>
      <c r="E1527" s="10" t="s">
        <v>3111</v>
      </c>
      <c r="F1527" s="10"/>
      <c r="G1527" s="10"/>
      <c r="H1527" s="10"/>
      <c r="I1527" s="23" t="s">
        <v>46</v>
      </c>
      <c r="J1527" s="223"/>
    </row>
    <row r="1528" spans="1:10" s="144" customFormat="1" ht="12.75" x14ac:dyDescent="0.25">
      <c r="A1528" s="7">
        <v>357542000</v>
      </c>
      <c r="B1528" s="22" t="s">
        <v>3112</v>
      </c>
      <c r="C1528" s="10" t="s">
        <v>3113</v>
      </c>
      <c r="D1528" s="10">
        <v>40631</v>
      </c>
      <c r="E1528" s="10" t="s">
        <v>839</v>
      </c>
      <c r="F1528" s="10"/>
      <c r="G1528" s="10"/>
      <c r="H1528" s="10"/>
      <c r="I1528" s="23" t="s">
        <v>71</v>
      </c>
      <c r="J1528" s="223"/>
    </row>
    <row r="1529" spans="1:10" s="144" customFormat="1" ht="12.75" x14ac:dyDescent="0.25">
      <c r="A1529" s="7">
        <v>525300843</v>
      </c>
      <c r="B1529" s="22" t="s">
        <v>3115</v>
      </c>
      <c r="C1529" s="10" t="s">
        <v>3116</v>
      </c>
      <c r="D1529" s="10" t="s">
        <v>3117</v>
      </c>
      <c r="E1529" s="10" t="s">
        <v>3118</v>
      </c>
      <c r="F1529" s="10"/>
      <c r="G1529" s="10"/>
      <c r="H1529" s="10"/>
      <c r="I1529" s="23" t="s">
        <v>245</v>
      </c>
      <c r="J1529" s="223"/>
    </row>
    <row r="1530" spans="1:10" s="144" customFormat="1" ht="12.75" x14ac:dyDescent="0.25">
      <c r="A1530" s="7">
        <v>525700822</v>
      </c>
      <c r="B1530" s="22" t="s">
        <v>3119</v>
      </c>
      <c r="C1530" s="10">
        <v>43</v>
      </c>
      <c r="D1530" s="10">
        <v>317</v>
      </c>
      <c r="E1530" s="10" t="s">
        <v>1660</v>
      </c>
      <c r="F1530" s="10"/>
      <c r="G1530" s="10"/>
      <c r="H1530" s="10"/>
      <c r="I1530" s="23" t="s">
        <v>3120</v>
      </c>
      <c r="J1530" s="223"/>
    </row>
    <row r="1531" spans="1:10" s="144" customFormat="1" ht="12.75" x14ac:dyDescent="0.25">
      <c r="A1531" s="7">
        <v>525010270</v>
      </c>
      <c r="B1531" s="22" t="s">
        <v>3124</v>
      </c>
      <c r="C1531" s="10" t="s">
        <v>3125</v>
      </c>
      <c r="D1531" s="10" t="s">
        <v>750</v>
      </c>
      <c r="E1531" s="10" t="s">
        <v>2596</v>
      </c>
      <c r="F1531" s="10"/>
      <c r="G1531" s="10"/>
      <c r="H1531" s="10"/>
      <c r="I1531" s="23" t="s">
        <v>96</v>
      </c>
      <c r="J1531" s="223"/>
    </row>
    <row r="1532" spans="1:10" s="144" customFormat="1" ht="12.75" x14ac:dyDescent="0.25">
      <c r="A1532" s="7">
        <v>477237300</v>
      </c>
      <c r="B1532" s="22" t="s">
        <v>3122</v>
      </c>
      <c r="C1532" s="10">
        <v>229</v>
      </c>
      <c r="D1532" s="10">
        <v>43646</v>
      </c>
      <c r="E1532" s="10" t="s">
        <v>979</v>
      </c>
      <c r="F1532" s="10"/>
      <c r="G1532" s="10"/>
      <c r="H1532" s="10"/>
      <c r="I1532" s="23" t="s">
        <v>3123</v>
      </c>
      <c r="J1532" s="223"/>
    </row>
    <row r="1533" spans="1:10" s="144" customFormat="1" ht="12.75" x14ac:dyDescent="0.25">
      <c r="A1533" s="7">
        <v>525016636</v>
      </c>
      <c r="B1533" s="22" t="s">
        <v>3121</v>
      </c>
      <c r="C1533" s="10">
        <v>130</v>
      </c>
      <c r="D1533" s="10">
        <v>7716</v>
      </c>
      <c r="E1533" s="10" t="s">
        <v>1103</v>
      </c>
      <c r="F1533" s="10"/>
      <c r="G1533" s="10"/>
      <c r="H1533" s="10"/>
      <c r="I1533" s="23" t="s">
        <v>46</v>
      </c>
      <c r="J1533" s="223"/>
    </row>
    <row r="1534" spans="1:10" s="144" customFormat="1" ht="12.75" x14ac:dyDescent="0.25">
      <c r="A1534" s="7">
        <v>525500261</v>
      </c>
      <c r="B1534" s="22" t="s">
        <v>3126</v>
      </c>
      <c r="C1534" s="10" t="s">
        <v>375</v>
      </c>
      <c r="D1534" s="10" t="s">
        <v>3127</v>
      </c>
      <c r="E1534" s="10" t="s">
        <v>855</v>
      </c>
      <c r="F1534" s="10"/>
      <c r="G1534" s="10"/>
      <c r="H1534" s="10"/>
      <c r="I1534" s="23" t="s">
        <v>3038</v>
      </c>
      <c r="J1534" s="223"/>
    </row>
    <row r="1535" spans="1:10" s="144" customFormat="1" ht="12.75" x14ac:dyDescent="0.25">
      <c r="A1535" s="7">
        <v>525701812</v>
      </c>
      <c r="B1535" s="22" t="s">
        <v>3128</v>
      </c>
      <c r="C1535" s="10">
        <v>112</v>
      </c>
      <c r="D1535" s="10">
        <v>5633</v>
      </c>
      <c r="E1535" s="10" t="s">
        <v>178</v>
      </c>
      <c r="F1535" s="10"/>
      <c r="G1535" s="10"/>
      <c r="H1535" s="10"/>
      <c r="I1535" s="23" t="s">
        <v>46</v>
      </c>
      <c r="J1535" s="223"/>
    </row>
    <row r="1536" spans="1:10" s="144" customFormat="1" ht="12.75" x14ac:dyDescent="0.25">
      <c r="A1536" s="7">
        <v>525018469</v>
      </c>
      <c r="B1536" s="22" t="s">
        <v>3132</v>
      </c>
      <c r="C1536" s="10" t="s">
        <v>3133</v>
      </c>
      <c r="D1536" s="10" t="s">
        <v>3134</v>
      </c>
      <c r="E1536" s="10" t="s">
        <v>1615</v>
      </c>
      <c r="F1536" s="10"/>
      <c r="G1536" s="10"/>
      <c r="H1536" s="10"/>
      <c r="I1536" s="23" t="s">
        <v>3038</v>
      </c>
      <c r="J1536" s="223"/>
    </row>
    <row r="1537" spans="1:10" s="144" customFormat="1" ht="12.75" x14ac:dyDescent="0.25">
      <c r="A1537" s="7">
        <v>525015442</v>
      </c>
      <c r="B1537" s="22" t="s">
        <v>3135</v>
      </c>
      <c r="C1537" s="10" t="s">
        <v>3136</v>
      </c>
      <c r="D1537" s="10">
        <v>206</v>
      </c>
      <c r="E1537" s="10" t="s">
        <v>3069</v>
      </c>
      <c r="F1537" s="10"/>
      <c r="G1537" s="10"/>
      <c r="H1537" s="10"/>
      <c r="I1537" s="23" t="s">
        <v>1432</v>
      </c>
      <c r="J1537" s="223"/>
    </row>
    <row r="1538" spans="1:10" s="144" customFormat="1" ht="12.75" x14ac:dyDescent="0.25">
      <c r="A1538" s="7">
        <v>525401274</v>
      </c>
      <c r="B1538" s="22" t="s">
        <v>3138</v>
      </c>
      <c r="C1538" s="10" t="s">
        <v>3139</v>
      </c>
      <c r="D1538" s="10" t="s">
        <v>3140</v>
      </c>
      <c r="E1538" s="10" t="s">
        <v>3199</v>
      </c>
      <c r="F1538" s="10"/>
      <c r="G1538" s="10"/>
      <c r="H1538" s="10"/>
      <c r="I1538" s="23" t="s">
        <v>41</v>
      </c>
      <c r="J1538" s="223"/>
    </row>
    <row r="1539" spans="1:10" s="144" customFormat="1" ht="12.75" x14ac:dyDescent="0.25">
      <c r="A1539" s="7">
        <v>525701713</v>
      </c>
      <c r="B1539" s="22" t="s">
        <v>3142</v>
      </c>
      <c r="C1539" s="10" t="s">
        <v>3143</v>
      </c>
      <c r="D1539" s="10" t="s">
        <v>3445</v>
      </c>
      <c r="E1539" s="10" t="s">
        <v>3446</v>
      </c>
      <c r="F1539" s="10"/>
      <c r="G1539" s="10"/>
      <c r="H1539" s="10"/>
      <c r="I1539" s="23" t="s">
        <v>1870</v>
      </c>
      <c r="J1539" s="223"/>
    </row>
    <row r="1540" spans="1:10" s="144" customFormat="1" ht="12.75" x14ac:dyDescent="0.25">
      <c r="A1540" s="7">
        <v>525900915</v>
      </c>
      <c r="B1540" s="18" t="s">
        <v>3144</v>
      </c>
      <c r="C1540" s="7">
        <v>87</v>
      </c>
      <c r="D1540" s="10">
        <v>3114</v>
      </c>
      <c r="E1540" s="7">
        <v>2.21</v>
      </c>
      <c r="F1540" s="10"/>
      <c r="G1540" s="10"/>
      <c r="H1540" s="10"/>
      <c r="I1540" s="23" t="s">
        <v>1584</v>
      </c>
      <c r="J1540" s="223"/>
    </row>
    <row r="1541" spans="1:10" s="144" customFormat="1" ht="12.75" x14ac:dyDescent="0.25">
      <c r="A1541" s="7">
        <v>525015514</v>
      </c>
      <c r="B1541" s="18" t="s">
        <v>3145</v>
      </c>
      <c r="C1541" s="7" t="s">
        <v>3249</v>
      </c>
      <c r="D1541" s="7" t="s">
        <v>3148</v>
      </c>
      <c r="E1541" s="7" t="s">
        <v>2549</v>
      </c>
      <c r="F1541" s="10"/>
      <c r="G1541" s="10"/>
      <c r="H1541" s="10"/>
      <c r="I1541" s="23" t="s">
        <v>1448</v>
      </c>
      <c r="J1541" s="223"/>
    </row>
    <row r="1542" spans="1:10" s="144" customFormat="1" ht="12.75" x14ac:dyDescent="0.25">
      <c r="A1542" s="7">
        <v>525301495</v>
      </c>
      <c r="B1542" s="18" t="s">
        <v>3146</v>
      </c>
      <c r="C1542" s="7" t="s">
        <v>3200</v>
      </c>
      <c r="D1542" s="7" t="s">
        <v>3149</v>
      </c>
      <c r="E1542" s="7" t="s">
        <v>1658</v>
      </c>
      <c r="F1542" s="10"/>
      <c r="G1542" s="10"/>
      <c r="H1542" s="10"/>
      <c r="I1542" s="23" t="s">
        <v>2002</v>
      </c>
      <c r="J1542" s="223"/>
    </row>
    <row r="1543" spans="1:10" s="144" customFormat="1" ht="12.75" x14ac:dyDescent="0.25">
      <c r="A1543" s="7">
        <v>413360000</v>
      </c>
      <c r="B1543" s="18" t="s">
        <v>3147</v>
      </c>
      <c r="C1543" s="7">
        <v>190</v>
      </c>
      <c r="D1543" s="7">
        <v>53000</v>
      </c>
      <c r="E1543" s="7">
        <v>8.6999999999999993</v>
      </c>
      <c r="F1543" s="10"/>
      <c r="G1543" s="10"/>
      <c r="H1543" s="10"/>
      <c r="I1543" s="23" t="s">
        <v>273</v>
      </c>
      <c r="J1543" s="223"/>
    </row>
    <row r="1544" spans="1:10" s="144" customFormat="1" ht="12.75" x14ac:dyDescent="0.25">
      <c r="A1544" s="7">
        <v>563244700</v>
      </c>
      <c r="B1544" s="18" t="s">
        <v>3150</v>
      </c>
      <c r="C1544" s="7">
        <v>179</v>
      </c>
      <c r="D1544" s="7">
        <v>25150</v>
      </c>
      <c r="E1544" s="7" t="s">
        <v>3161</v>
      </c>
      <c r="F1544" s="10"/>
      <c r="G1544" s="10"/>
      <c r="H1544" s="10"/>
      <c r="I1544" s="23"/>
      <c r="J1544" s="223"/>
    </row>
    <row r="1545" spans="1:10" s="144" customFormat="1" ht="12.75" x14ac:dyDescent="0.25">
      <c r="A1545" s="7">
        <v>525601211</v>
      </c>
      <c r="B1545" s="22" t="s">
        <v>3151</v>
      </c>
      <c r="C1545" s="10" t="s">
        <v>3152</v>
      </c>
      <c r="D1545" s="10">
        <v>601</v>
      </c>
      <c r="E1545" s="10" t="s">
        <v>3427</v>
      </c>
      <c r="F1545" s="10"/>
      <c r="G1545" s="10"/>
      <c r="H1545" s="10"/>
      <c r="I1545" s="23" t="s">
        <v>245</v>
      </c>
      <c r="J1545" s="223"/>
    </row>
    <row r="1546" spans="1:10" s="144" customFormat="1" ht="12.75" x14ac:dyDescent="0.25">
      <c r="A1546" s="7">
        <v>525024170</v>
      </c>
      <c r="B1546" s="22" t="s">
        <v>3153</v>
      </c>
      <c r="C1546" s="10" t="s">
        <v>3154</v>
      </c>
      <c r="D1546" s="10" t="s">
        <v>3155</v>
      </c>
      <c r="E1546" s="10" t="s">
        <v>1060</v>
      </c>
      <c r="F1546" s="10"/>
      <c r="G1546" s="10"/>
      <c r="H1546" s="10"/>
      <c r="I1546" s="23" t="s">
        <v>1870</v>
      </c>
      <c r="J1546" s="223"/>
    </row>
    <row r="1547" spans="1:10" s="144" customFormat="1" ht="12.75" x14ac:dyDescent="0.25">
      <c r="A1547" s="7">
        <v>525300017</v>
      </c>
      <c r="B1547" s="22" t="s">
        <v>3156</v>
      </c>
      <c r="C1547" s="10" t="s">
        <v>3157</v>
      </c>
      <c r="D1547" s="10" t="s">
        <v>3158</v>
      </c>
      <c r="E1547" s="10" t="s">
        <v>3159</v>
      </c>
      <c r="F1547" s="10"/>
      <c r="G1547" s="10"/>
      <c r="H1547" s="10"/>
      <c r="I1547" s="23" t="s">
        <v>3038</v>
      </c>
      <c r="J1547" s="223"/>
    </row>
    <row r="1548" spans="1:10" s="144" customFormat="1" ht="12.75" x14ac:dyDescent="0.25">
      <c r="A1548" s="7">
        <v>525501295</v>
      </c>
      <c r="B1548" s="22" t="s">
        <v>3165</v>
      </c>
      <c r="C1548" s="10" t="s">
        <v>3166</v>
      </c>
      <c r="D1548" s="10">
        <v>499</v>
      </c>
      <c r="E1548" s="10" t="s">
        <v>138</v>
      </c>
      <c r="F1548" s="10"/>
      <c r="G1548" s="10"/>
      <c r="H1548" s="10"/>
      <c r="I1548" s="23" t="s">
        <v>1432</v>
      </c>
      <c r="J1548" s="223"/>
    </row>
    <row r="1549" spans="1:10" s="144" customFormat="1" ht="12.75" x14ac:dyDescent="0.25">
      <c r="A1549" s="7">
        <v>525018270</v>
      </c>
      <c r="B1549" s="18" t="s">
        <v>3168</v>
      </c>
      <c r="C1549" s="7" t="s">
        <v>3169</v>
      </c>
      <c r="D1549" s="7" t="s">
        <v>3170</v>
      </c>
      <c r="E1549" s="10" t="s">
        <v>1060</v>
      </c>
      <c r="F1549" s="10"/>
      <c r="G1549" s="10"/>
      <c r="H1549" s="10"/>
      <c r="I1549" s="23" t="s">
        <v>46</v>
      </c>
      <c r="J1549" s="223"/>
    </row>
    <row r="1550" spans="1:10" s="144" customFormat="1" ht="12.75" x14ac:dyDescent="0.25">
      <c r="A1550" s="7">
        <v>525201810</v>
      </c>
      <c r="B1550" s="18" t="s">
        <v>3167</v>
      </c>
      <c r="C1550" s="7">
        <v>121</v>
      </c>
      <c r="D1550" s="7">
        <v>8562</v>
      </c>
      <c r="E1550" s="7" t="s">
        <v>1940</v>
      </c>
      <c r="F1550" s="10"/>
      <c r="G1550" s="10"/>
      <c r="H1550" s="10"/>
      <c r="I1550" s="23"/>
      <c r="J1550" s="223"/>
    </row>
    <row r="1551" spans="1:10" s="144" customFormat="1" ht="12.75" x14ac:dyDescent="0.25">
      <c r="A1551" s="7">
        <v>525003042</v>
      </c>
      <c r="B1551" s="22" t="s">
        <v>3171</v>
      </c>
      <c r="C1551" s="10">
        <v>86</v>
      </c>
      <c r="D1551" s="10">
        <v>1998</v>
      </c>
      <c r="E1551" s="10" t="s">
        <v>133</v>
      </c>
      <c r="F1551" s="10"/>
      <c r="G1551" s="10"/>
      <c r="H1551" s="10"/>
      <c r="I1551" s="23" t="s">
        <v>1534</v>
      </c>
      <c r="J1551" s="223"/>
    </row>
    <row r="1552" spans="1:10" s="144" customFormat="1" ht="12.75" x14ac:dyDescent="0.25">
      <c r="A1552" s="7">
        <v>525600072</v>
      </c>
      <c r="B1552" s="22" t="s">
        <v>3172</v>
      </c>
      <c r="C1552" s="10" t="s">
        <v>3173</v>
      </c>
      <c r="D1552" s="10" t="s">
        <v>3174</v>
      </c>
      <c r="E1552" s="10" t="s">
        <v>1060</v>
      </c>
      <c r="F1552" s="10"/>
      <c r="G1552" s="10"/>
      <c r="H1552" s="10"/>
      <c r="I1552" s="23" t="s">
        <v>249</v>
      </c>
      <c r="J1552" s="223"/>
    </row>
    <row r="1553" spans="1:10" s="144" customFormat="1" ht="12.75" x14ac:dyDescent="0.25">
      <c r="A1553" s="7">
        <v>525501516</v>
      </c>
      <c r="B1553" s="22" t="s">
        <v>3177</v>
      </c>
      <c r="C1553" s="10" t="s">
        <v>3178</v>
      </c>
      <c r="D1553" s="10" t="s">
        <v>3179</v>
      </c>
      <c r="E1553" s="10" t="s">
        <v>3180</v>
      </c>
      <c r="F1553" s="10"/>
      <c r="G1553" s="10"/>
      <c r="H1553" s="10"/>
      <c r="I1553" s="23" t="s">
        <v>3038</v>
      </c>
      <c r="J1553" s="223"/>
    </row>
    <row r="1554" spans="1:10" s="144" customFormat="1" ht="12.75" x14ac:dyDescent="0.25">
      <c r="A1554" s="7">
        <v>525005401</v>
      </c>
      <c r="B1554" s="22" t="s">
        <v>3181</v>
      </c>
      <c r="C1554" s="10">
        <v>108</v>
      </c>
      <c r="D1554" s="10">
        <v>3654</v>
      </c>
      <c r="E1554" s="10" t="s">
        <v>1016</v>
      </c>
      <c r="F1554" s="10"/>
      <c r="G1554" s="10"/>
      <c r="H1554" s="10"/>
      <c r="I1554" s="23" t="s">
        <v>2398</v>
      </c>
      <c r="J1554" s="223"/>
    </row>
    <row r="1555" spans="1:10" s="144" customFormat="1" ht="12.75" x14ac:dyDescent="0.25">
      <c r="A1555" s="7">
        <v>356546000</v>
      </c>
      <c r="B1555" s="22" t="s">
        <v>3182</v>
      </c>
      <c r="C1555" s="10">
        <v>229</v>
      </c>
      <c r="D1555" s="10">
        <v>44307</v>
      </c>
      <c r="E1555" s="10" t="s">
        <v>3183</v>
      </c>
      <c r="F1555" s="10"/>
      <c r="G1555" s="10"/>
      <c r="H1555" s="10"/>
      <c r="I1555" s="23" t="s">
        <v>71</v>
      </c>
      <c r="J1555" s="223"/>
    </row>
    <row r="1556" spans="1:10" s="144" customFormat="1" ht="12.75" x14ac:dyDescent="0.25">
      <c r="A1556" s="7">
        <v>525012030</v>
      </c>
      <c r="B1556" s="22" t="s">
        <v>3186</v>
      </c>
      <c r="C1556" s="10" t="s">
        <v>3184</v>
      </c>
      <c r="D1556" s="10" t="s">
        <v>3185</v>
      </c>
      <c r="E1556" s="10" t="s">
        <v>1060</v>
      </c>
      <c r="F1556" s="10"/>
      <c r="G1556" s="10"/>
      <c r="H1556" s="10"/>
      <c r="I1556" s="23" t="s">
        <v>3038</v>
      </c>
      <c r="J1556" s="223"/>
    </row>
    <row r="1557" spans="1:10" s="144" customFormat="1" ht="12.75" x14ac:dyDescent="0.25">
      <c r="A1557" s="7">
        <v>252220224</v>
      </c>
      <c r="B1557" s="22" t="s">
        <v>3190</v>
      </c>
      <c r="C1557" s="10" t="s">
        <v>3191</v>
      </c>
      <c r="D1557" s="10" t="s">
        <v>3192</v>
      </c>
      <c r="E1557" s="10" t="s">
        <v>1060</v>
      </c>
      <c r="F1557" s="10"/>
      <c r="G1557" s="10"/>
      <c r="H1557" s="10"/>
      <c r="I1557" s="23" t="s">
        <v>39</v>
      </c>
      <c r="J1557" s="223"/>
    </row>
    <row r="1558" spans="1:10" s="144" customFormat="1" ht="12.75" x14ac:dyDescent="0.25">
      <c r="A1558" s="7">
        <v>525100175</v>
      </c>
      <c r="B1558" s="22" t="s">
        <v>3196</v>
      </c>
      <c r="C1558" s="10" t="s">
        <v>3197</v>
      </c>
      <c r="D1558" s="10" t="s">
        <v>3198</v>
      </c>
      <c r="E1558" s="10" t="s">
        <v>1915</v>
      </c>
      <c r="F1558" s="10"/>
      <c r="G1558" s="10"/>
      <c r="H1558" s="10"/>
      <c r="I1558" s="23" t="s">
        <v>1448</v>
      </c>
      <c r="J1558" s="223"/>
    </row>
    <row r="1559" spans="1:10" s="144" customFormat="1" ht="12.75" x14ac:dyDescent="0.25">
      <c r="A1559" s="7">
        <v>441164000</v>
      </c>
      <c r="B1559" s="22" t="s">
        <v>3202</v>
      </c>
      <c r="C1559" s="10">
        <v>144</v>
      </c>
      <c r="D1559" s="10">
        <v>11757</v>
      </c>
      <c r="E1559" s="10" t="s">
        <v>794</v>
      </c>
      <c r="F1559" s="10"/>
      <c r="G1559" s="10"/>
      <c r="H1559" s="10"/>
      <c r="I1559" s="23" t="s">
        <v>150</v>
      </c>
      <c r="J1559" s="223"/>
    </row>
    <row r="1560" spans="1:10" s="144" customFormat="1" ht="12.75" x14ac:dyDescent="0.25">
      <c r="A1560" s="7">
        <v>525501465</v>
      </c>
      <c r="B1560" s="22" t="s">
        <v>3204</v>
      </c>
      <c r="C1560" s="10">
        <v>105</v>
      </c>
      <c r="D1560" s="10">
        <v>2985</v>
      </c>
      <c r="E1560" s="10" t="s">
        <v>133</v>
      </c>
      <c r="F1560" s="10"/>
      <c r="G1560" s="10"/>
      <c r="H1560" s="10"/>
      <c r="I1560" s="23" t="s">
        <v>45</v>
      </c>
      <c r="J1560" s="223"/>
    </row>
    <row r="1561" spans="1:10" s="144" customFormat="1" ht="12.75" x14ac:dyDescent="0.25">
      <c r="A1561" s="7">
        <v>636015667</v>
      </c>
      <c r="B1561" s="22" t="s">
        <v>3205</v>
      </c>
      <c r="C1561" s="220">
        <v>228</v>
      </c>
      <c r="D1561" s="220">
        <v>41300</v>
      </c>
      <c r="E1561" s="10" t="s">
        <v>3206</v>
      </c>
      <c r="F1561" s="220"/>
      <c r="G1561" s="220"/>
      <c r="H1561" s="220"/>
      <c r="I1561" s="23" t="s">
        <v>3193</v>
      </c>
      <c r="J1561" s="223"/>
    </row>
    <row r="1562" spans="1:10" s="144" customFormat="1" ht="12.75" x14ac:dyDescent="0.25">
      <c r="A1562" s="7">
        <v>352003888</v>
      </c>
      <c r="B1562" s="22" t="s">
        <v>3207</v>
      </c>
      <c r="C1562" s="220">
        <v>176</v>
      </c>
      <c r="D1562" s="220">
        <v>25105</v>
      </c>
      <c r="E1562" s="10" t="s">
        <v>822</v>
      </c>
      <c r="F1562" s="220"/>
      <c r="G1562" s="220"/>
      <c r="H1562" s="220"/>
      <c r="I1562" s="23" t="s">
        <v>160</v>
      </c>
      <c r="J1562" s="223"/>
    </row>
    <row r="1563" spans="1:10" s="144" customFormat="1" ht="12.75" x14ac:dyDescent="0.25">
      <c r="A1563" s="7">
        <v>525100010</v>
      </c>
      <c r="B1563" s="18" t="s">
        <v>3208</v>
      </c>
      <c r="C1563" s="7">
        <v>82</v>
      </c>
      <c r="D1563" s="7">
        <v>1998</v>
      </c>
      <c r="E1563" s="7">
        <v>3.4</v>
      </c>
      <c r="F1563" s="220"/>
      <c r="G1563" s="220"/>
      <c r="H1563" s="220"/>
      <c r="I1563" s="23" t="s">
        <v>39</v>
      </c>
      <c r="J1563" s="223"/>
    </row>
    <row r="1564" spans="1:10" s="144" customFormat="1" ht="12.75" x14ac:dyDescent="0.25">
      <c r="A1564" s="7">
        <v>636021541</v>
      </c>
      <c r="B1564" s="18" t="s">
        <v>3209</v>
      </c>
      <c r="C1564" s="7">
        <v>183.07</v>
      </c>
      <c r="D1564" s="7">
        <v>29671</v>
      </c>
      <c r="E1564" s="7">
        <v>8.5</v>
      </c>
      <c r="F1564" s="220"/>
      <c r="G1564" s="220"/>
      <c r="H1564" s="220"/>
      <c r="I1564" s="23" t="s">
        <v>160</v>
      </c>
      <c r="J1564" s="223"/>
    </row>
    <row r="1565" spans="1:10" s="144" customFormat="1" ht="12.75" x14ac:dyDescent="0.25">
      <c r="A1565" s="7">
        <v>525006152</v>
      </c>
      <c r="B1565" s="22" t="s">
        <v>3211</v>
      </c>
      <c r="C1565" s="10" t="s">
        <v>3212</v>
      </c>
      <c r="D1565" s="10" t="s">
        <v>3213</v>
      </c>
      <c r="E1565" s="10" t="s">
        <v>3214</v>
      </c>
      <c r="F1565" s="220"/>
      <c r="G1565" s="220"/>
      <c r="H1565" s="220"/>
      <c r="I1565" s="23" t="s">
        <v>41</v>
      </c>
      <c r="J1565" s="223"/>
    </row>
    <row r="1566" spans="1:10" s="144" customFormat="1" ht="12.75" x14ac:dyDescent="0.25">
      <c r="A1566" s="7">
        <v>255915562</v>
      </c>
      <c r="B1566" s="18" t="s">
        <v>3215</v>
      </c>
      <c r="C1566" s="7">
        <v>135</v>
      </c>
      <c r="D1566" s="7">
        <v>10421</v>
      </c>
      <c r="E1566" s="7">
        <v>6.6</v>
      </c>
      <c r="F1566" s="220"/>
      <c r="G1566" s="220"/>
      <c r="H1566" s="220"/>
      <c r="I1566" s="23" t="s">
        <v>40</v>
      </c>
      <c r="J1566" s="223"/>
    </row>
    <row r="1567" spans="1:10" s="144" customFormat="1" ht="12.75" x14ac:dyDescent="0.25">
      <c r="A1567" s="7">
        <v>525201641</v>
      </c>
      <c r="B1567" s="18" t="s">
        <v>3218</v>
      </c>
      <c r="C1567" s="7" t="s">
        <v>3216</v>
      </c>
      <c r="D1567" s="7" t="s">
        <v>3217</v>
      </c>
      <c r="E1567" s="7" t="s">
        <v>489</v>
      </c>
      <c r="F1567" s="220"/>
      <c r="G1567" s="220"/>
      <c r="H1567" s="220"/>
      <c r="I1567" s="23" t="s">
        <v>245</v>
      </c>
      <c r="J1567" s="223"/>
    </row>
    <row r="1568" spans="1:10" s="144" customFormat="1" ht="12.75" x14ac:dyDescent="0.25">
      <c r="A1568" s="7">
        <v>525003225</v>
      </c>
      <c r="B1568" s="18" t="s">
        <v>3219</v>
      </c>
      <c r="C1568" s="7" t="s">
        <v>3220</v>
      </c>
      <c r="D1568" s="7" t="s">
        <v>3221</v>
      </c>
      <c r="E1568" s="7" t="s">
        <v>489</v>
      </c>
      <c r="F1568" s="220"/>
      <c r="G1568" s="220"/>
      <c r="H1568" s="220"/>
      <c r="I1568" s="7" t="s">
        <v>3038</v>
      </c>
      <c r="J1568" s="223"/>
    </row>
    <row r="1569" spans="1:10" s="144" customFormat="1" ht="12.75" x14ac:dyDescent="0.25">
      <c r="A1569" s="7">
        <v>525201201</v>
      </c>
      <c r="B1569" s="18" t="s">
        <v>3240</v>
      </c>
      <c r="C1569" s="10" t="s">
        <v>3222</v>
      </c>
      <c r="D1569" s="10" t="s">
        <v>3223</v>
      </c>
      <c r="E1569" s="10" t="s">
        <v>3224</v>
      </c>
      <c r="F1569" s="220"/>
      <c r="G1569" s="220"/>
      <c r="H1569" s="220"/>
      <c r="I1569" s="23" t="s">
        <v>2398</v>
      </c>
      <c r="J1569" s="223"/>
    </row>
    <row r="1570" spans="1:10" s="144" customFormat="1" ht="12.75" x14ac:dyDescent="0.25">
      <c r="A1570" s="7">
        <v>352001380</v>
      </c>
      <c r="B1570" s="22" t="s">
        <v>3225</v>
      </c>
      <c r="C1570" s="220">
        <v>177</v>
      </c>
      <c r="D1570" s="220">
        <v>19717</v>
      </c>
      <c r="E1570" s="10" t="s">
        <v>135</v>
      </c>
      <c r="F1570" s="220"/>
      <c r="G1570" s="220"/>
      <c r="H1570" s="220"/>
      <c r="I1570" s="23" t="s">
        <v>273</v>
      </c>
      <c r="J1570" s="223"/>
    </row>
    <row r="1571" spans="1:10" s="144" customFormat="1" ht="12.75" x14ac:dyDescent="0.25">
      <c r="A1571" s="7">
        <v>525400548</v>
      </c>
      <c r="B1571" s="22" t="s">
        <v>3226</v>
      </c>
      <c r="C1571" s="10" t="s">
        <v>3227</v>
      </c>
      <c r="D1571" s="10" t="s">
        <v>3228</v>
      </c>
      <c r="E1571" s="10" t="s">
        <v>1769</v>
      </c>
      <c r="F1571" s="220"/>
      <c r="G1571" s="220"/>
      <c r="H1571" s="220"/>
      <c r="I1571" s="23" t="s">
        <v>1534</v>
      </c>
      <c r="J1571" s="223"/>
    </row>
    <row r="1572" spans="1:10" s="144" customFormat="1" ht="12.75" x14ac:dyDescent="0.25">
      <c r="A1572" s="7">
        <v>636022818</v>
      </c>
      <c r="B1572" s="22" t="s">
        <v>3229</v>
      </c>
      <c r="C1572" s="220">
        <v>210</v>
      </c>
      <c r="D1572" s="220">
        <v>53015</v>
      </c>
      <c r="E1572" s="10" t="s">
        <v>56</v>
      </c>
      <c r="F1572" s="220"/>
      <c r="G1572" s="220"/>
      <c r="H1572" s="220"/>
      <c r="I1572" s="221"/>
      <c r="J1572" s="223"/>
    </row>
    <row r="1573" spans="1:10" s="144" customFormat="1" ht="12.75" x14ac:dyDescent="0.25">
      <c r="A1573" s="7">
        <v>525701657</v>
      </c>
      <c r="B1573" s="22" t="s">
        <v>3230</v>
      </c>
      <c r="C1573" s="10" t="s">
        <v>3231</v>
      </c>
      <c r="D1573" s="220">
        <v>351</v>
      </c>
      <c r="E1573" s="10" t="s">
        <v>140</v>
      </c>
      <c r="F1573" s="220"/>
      <c r="G1573" s="220"/>
      <c r="H1573" s="220"/>
      <c r="I1573" s="23" t="s">
        <v>183</v>
      </c>
      <c r="J1573" s="223"/>
    </row>
    <row r="1574" spans="1:10" s="144" customFormat="1" ht="12.75" x14ac:dyDescent="0.25">
      <c r="A1574" s="7">
        <v>636022025</v>
      </c>
      <c r="B1574" s="22" t="s">
        <v>3236</v>
      </c>
      <c r="C1574" s="10" t="s">
        <v>821</v>
      </c>
      <c r="D1574" s="220">
        <v>19758</v>
      </c>
      <c r="E1574" s="10" t="s">
        <v>1221</v>
      </c>
      <c r="F1574" s="220"/>
      <c r="G1574" s="220"/>
      <c r="H1574" s="220"/>
      <c r="I1574" s="221"/>
      <c r="J1574" s="223"/>
    </row>
    <row r="1575" spans="1:10" s="144" customFormat="1" ht="12.75" x14ac:dyDescent="0.25">
      <c r="A1575" s="7">
        <v>525003296</v>
      </c>
      <c r="B1575" s="18" t="s">
        <v>3239</v>
      </c>
      <c r="C1575" s="7" t="s">
        <v>3235</v>
      </c>
      <c r="D1575" s="7" t="s">
        <v>2496</v>
      </c>
      <c r="E1575" s="135" t="s">
        <v>489</v>
      </c>
      <c r="F1575" s="220"/>
      <c r="G1575" s="220"/>
      <c r="H1575" s="220"/>
      <c r="I1575" s="7" t="s">
        <v>39</v>
      </c>
      <c r="J1575" s="223"/>
    </row>
    <row r="1576" spans="1:10" s="144" customFormat="1" ht="12.75" x14ac:dyDescent="0.25">
      <c r="A1576" s="7">
        <v>525801720</v>
      </c>
      <c r="B1576" s="22" t="s">
        <v>3251</v>
      </c>
      <c r="C1576" s="10" t="s">
        <v>3252</v>
      </c>
      <c r="D1576" s="10" t="s">
        <v>3253</v>
      </c>
      <c r="E1576" s="10" t="s">
        <v>2596</v>
      </c>
      <c r="F1576" s="220"/>
      <c r="G1576" s="220"/>
      <c r="H1576" s="220"/>
      <c r="I1576" s="23" t="s">
        <v>3038</v>
      </c>
      <c r="J1576" s="223"/>
    </row>
    <row r="1577" spans="1:10" s="144" customFormat="1" ht="12.75" x14ac:dyDescent="0.25">
      <c r="A1577" s="7">
        <v>525701691</v>
      </c>
      <c r="B1577" s="22" t="s">
        <v>3254</v>
      </c>
      <c r="C1577" s="10" t="s">
        <v>3255</v>
      </c>
      <c r="D1577" s="10" t="s">
        <v>3011</v>
      </c>
      <c r="E1577" s="10" t="s">
        <v>3256</v>
      </c>
      <c r="F1577" s="220"/>
      <c r="G1577" s="220"/>
      <c r="H1577" s="220"/>
      <c r="I1577" s="23" t="s">
        <v>2002</v>
      </c>
      <c r="J1577" s="223"/>
    </row>
    <row r="1578" spans="1:10" s="144" customFormat="1" ht="12.75" x14ac:dyDescent="0.25">
      <c r="A1578" s="7">
        <v>525500379</v>
      </c>
      <c r="B1578" s="22" t="s">
        <v>3257</v>
      </c>
      <c r="C1578" s="220">
        <v>33</v>
      </c>
      <c r="D1578" s="220">
        <v>196</v>
      </c>
      <c r="E1578" s="10" t="s">
        <v>3069</v>
      </c>
      <c r="F1578" s="220"/>
      <c r="G1578" s="220"/>
      <c r="H1578" s="220"/>
      <c r="I1578" s="23" t="s">
        <v>1432</v>
      </c>
      <c r="J1578" s="223"/>
    </row>
    <row r="1579" spans="1:10" s="144" customFormat="1" ht="12.75" x14ac:dyDescent="0.25">
      <c r="A1579" s="7">
        <v>525500260</v>
      </c>
      <c r="B1579" s="22" t="s">
        <v>3258</v>
      </c>
      <c r="C1579" s="220">
        <v>39</v>
      </c>
      <c r="D1579" s="220">
        <v>166</v>
      </c>
      <c r="E1579" s="10" t="s">
        <v>3069</v>
      </c>
      <c r="F1579" s="220"/>
      <c r="G1579" s="220"/>
      <c r="H1579" s="220"/>
      <c r="I1579" s="23" t="s">
        <v>1432</v>
      </c>
      <c r="J1579" s="223"/>
    </row>
    <row r="1580" spans="1:10" s="144" customFormat="1" ht="12.75" x14ac:dyDescent="0.25">
      <c r="A1580" s="7">
        <v>525021387</v>
      </c>
      <c r="B1580" s="22" t="s">
        <v>3259</v>
      </c>
      <c r="C1580" s="220">
        <v>183</v>
      </c>
      <c r="D1580" s="220">
        <v>23245</v>
      </c>
      <c r="E1580" s="10" t="s">
        <v>1016</v>
      </c>
      <c r="F1580" s="220"/>
      <c r="G1580" s="220"/>
      <c r="H1580" s="220"/>
      <c r="I1580" s="221"/>
      <c r="J1580" s="223"/>
    </row>
    <row r="1581" spans="1:10" s="144" customFormat="1" ht="12.75" x14ac:dyDescent="0.25">
      <c r="A1581" s="7">
        <v>525701250</v>
      </c>
      <c r="B1581" s="22" t="s">
        <v>3260</v>
      </c>
      <c r="C1581" s="10" t="s">
        <v>3261</v>
      </c>
      <c r="D1581" s="10" t="s">
        <v>3262</v>
      </c>
      <c r="E1581" s="10" t="s">
        <v>3263</v>
      </c>
      <c r="F1581" s="220"/>
      <c r="G1581" s="220"/>
      <c r="H1581" s="220"/>
      <c r="I1581" s="23" t="s">
        <v>353</v>
      </c>
      <c r="J1581" s="223"/>
    </row>
    <row r="1582" spans="1:10" s="144" customFormat="1" ht="12.75" x14ac:dyDescent="0.25">
      <c r="A1582" s="7">
        <v>525024292</v>
      </c>
      <c r="B1582" s="22" t="s">
        <v>3264</v>
      </c>
      <c r="C1582" s="10" t="s">
        <v>3265</v>
      </c>
      <c r="D1582" s="10" t="s">
        <v>3266</v>
      </c>
      <c r="E1582" s="10" t="s">
        <v>1455</v>
      </c>
      <c r="F1582" s="220"/>
      <c r="G1582" s="220"/>
      <c r="H1582" s="220"/>
      <c r="I1582" s="23" t="s">
        <v>245</v>
      </c>
      <c r="J1582" s="223"/>
    </row>
    <row r="1583" spans="1:10" s="144" customFormat="1" ht="12.75" x14ac:dyDescent="0.25">
      <c r="A1583" s="7">
        <v>413603590</v>
      </c>
      <c r="B1583" s="22" t="s">
        <v>3271</v>
      </c>
      <c r="C1583" s="10" t="s">
        <v>3272</v>
      </c>
      <c r="D1583" s="220">
        <v>9045</v>
      </c>
      <c r="E1583" s="10" t="s">
        <v>819</v>
      </c>
      <c r="F1583" s="220"/>
      <c r="G1583" s="220"/>
      <c r="H1583" s="220"/>
      <c r="I1583" s="23" t="s">
        <v>2096</v>
      </c>
      <c r="J1583" s="223"/>
    </row>
    <row r="1584" spans="1:10" s="144" customFormat="1" ht="12.75" x14ac:dyDescent="0.25">
      <c r="A1584" s="7">
        <v>525300103</v>
      </c>
      <c r="B1584" s="22" t="s">
        <v>3273</v>
      </c>
      <c r="C1584" s="10" t="s">
        <v>3274</v>
      </c>
      <c r="D1584" s="10" t="s">
        <v>3275</v>
      </c>
      <c r="E1584" s="10" t="s">
        <v>3561</v>
      </c>
      <c r="F1584" s="220"/>
      <c r="G1584" s="220"/>
      <c r="H1584" s="220"/>
      <c r="I1584" s="23" t="s">
        <v>1584</v>
      </c>
      <c r="J1584" s="223"/>
    </row>
    <row r="1585" spans="1:10" s="144" customFormat="1" ht="12.75" x14ac:dyDescent="0.25">
      <c r="A1585" s="7">
        <v>525400847</v>
      </c>
      <c r="B1585" s="22" t="s">
        <v>3276</v>
      </c>
      <c r="C1585" s="10" t="s">
        <v>3277</v>
      </c>
      <c r="D1585" s="10" t="s">
        <v>1212</v>
      </c>
      <c r="E1585" s="10" t="s">
        <v>1886</v>
      </c>
      <c r="F1585" s="10"/>
      <c r="G1585" s="10"/>
      <c r="H1585" s="10"/>
      <c r="I1585" s="23" t="s">
        <v>39</v>
      </c>
      <c r="J1585" s="223"/>
    </row>
    <row r="1586" spans="1:10" s="144" customFormat="1" ht="12.75" x14ac:dyDescent="0.25">
      <c r="A1586" s="7">
        <v>525601492</v>
      </c>
      <c r="B1586" s="22" t="s">
        <v>3279</v>
      </c>
      <c r="C1586" s="10" t="s">
        <v>3280</v>
      </c>
      <c r="D1586" s="10" t="s">
        <v>3021</v>
      </c>
      <c r="E1586" s="10" t="s">
        <v>897</v>
      </c>
      <c r="F1586" s="220"/>
      <c r="G1586" s="220"/>
      <c r="H1586" s="220"/>
      <c r="I1586" s="23" t="s">
        <v>249</v>
      </c>
      <c r="J1586" s="223"/>
    </row>
    <row r="1587" spans="1:10" s="144" customFormat="1" ht="12.75" x14ac:dyDescent="0.25">
      <c r="A1587" s="7">
        <v>525826801</v>
      </c>
      <c r="B1587" s="22" t="s">
        <v>3281</v>
      </c>
      <c r="C1587" s="220">
        <v>70</v>
      </c>
      <c r="D1587" s="220">
        <v>1020</v>
      </c>
      <c r="E1587" s="10" t="s">
        <v>126</v>
      </c>
      <c r="F1587" s="220"/>
      <c r="G1587" s="220"/>
      <c r="H1587" s="220"/>
      <c r="I1587" s="23" t="s">
        <v>92</v>
      </c>
      <c r="J1587" s="223"/>
    </row>
    <row r="1588" spans="1:10" s="144" customFormat="1" ht="12.75" x14ac:dyDescent="0.25">
      <c r="A1588" s="7">
        <v>525010304</v>
      </c>
      <c r="B1588" s="22" t="s">
        <v>3282</v>
      </c>
      <c r="C1588" s="10" t="s">
        <v>3283</v>
      </c>
      <c r="D1588" s="220">
        <v>1312</v>
      </c>
      <c r="E1588" s="10" t="s">
        <v>164</v>
      </c>
      <c r="F1588" s="220"/>
      <c r="G1588" s="220"/>
      <c r="H1588" s="220"/>
      <c r="I1588" s="23" t="s">
        <v>2398</v>
      </c>
      <c r="J1588" s="223"/>
    </row>
    <row r="1589" spans="1:10" s="144" customFormat="1" ht="12.75" x14ac:dyDescent="0.25">
      <c r="A1589" s="7">
        <v>525200117</v>
      </c>
      <c r="B1589" s="18" t="s">
        <v>3284</v>
      </c>
      <c r="C1589" s="7">
        <v>38</v>
      </c>
      <c r="D1589" s="7">
        <v>116</v>
      </c>
      <c r="E1589" s="7">
        <v>2.8</v>
      </c>
      <c r="F1589" s="220"/>
      <c r="G1589" s="220"/>
      <c r="H1589" s="220"/>
      <c r="I1589" s="23" t="s">
        <v>3285</v>
      </c>
      <c r="J1589" s="223"/>
    </row>
    <row r="1590" spans="1:10" s="144" customFormat="1" ht="12.75" x14ac:dyDescent="0.25">
      <c r="A1590" s="7">
        <v>538009352</v>
      </c>
      <c r="B1590" s="18" t="s">
        <v>3286</v>
      </c>
      <c r="C1590" s="7">
        <v>200</v>
      </c>
      <c r="D1590" s="83">
        <v>35436</v>
      </c>
      <c r="E1590" s="7">
        <v>9.6999999999999993</v>
      </c>
      <c r="F1590" s="220"/>
      <c r="G1590" s="220"/>
      <c r="H1590" s="220"/>
      <c r="I1590" s="221"/>
      <c r="J1590" s="223"/>
    </row>
    <row r="1591" spans="1:10" s="144" customFormat="1" ht="12.75" x14ac:dyDescent="0.25">
      <c r="A1591" s="7">
        <v>525013034</v>
      </c>
      <c r="B1591" s="22" t="s">
        <v>3287</v>
      </c>
      <c r="C1591" s="220">
        <v>200</v>
      </c>
      <c r="D1591" s="220">
        <v>35436</v>
      </c>
      <c r="E1591" s="10" t="s">
        <v>3288</v>
      </c>
      <c r="F1591" s="220"/>
      <c r="G1591" s="220"/>
      <c r="H1591" s="220"/>
      <c r="I1591" s="221"/>
      <c r="J1591" s="223"/>
    </row>
    <row r="1592" spans="1:10" s="144" customFormat="1" ht="15.75" x14ac:dyDescent="0.25">
      <c r="A1592" s="7">
        <v>525021400</v>
      </c>
      <c r="B1592" s="18" t="s">
        <v>3289</v>
      </c>
      <c r="C1592" s="7">
        <v>50</v>
      </c>
      <c r="D1592" s="7">
        <v>367</v>
      </c>
      <c r="E1592" s="7">
        <v>3</v>
      </c>
      <c r="F1592" s="220"/>
      <c r="G1592" s="220"/>
      <c r="H1592" s="220"/>
      <c r="I1592" s="192" t="s">
        <v>1432</v>
      </c>
      <c r="J1592" s="223"/>
    </row>
    <row r="1593" spans="1:10" s="144" customFormat="1" ht="15.75" x14ac:dyDescent="0.25">
      <c r="A1593" s="7">
        <v>525003337</v>
      </c>
      <c r="B1593" s="18" t="s">
        <v>3290</v>
      </c>
      <c r="C1593" s="7">
        <v>151</v>
      </c>
      <c r="D1593" s="83">
        <v>15380</v>
      </c>
      <c r="E1593" s="7" t="s">
        <v>917</v>
      </c>
      <c r="F1593" s="220"/>
      <c r="G1593" s="220"/>
      <c r="H1593" s="220"/>
      <c r="I1593" s="192" t="s">
        <v>48</v>
      </c>
      <c r="J1593" s="223"/>
    </row>
    <row r="1594" spans="1:10" s="144" customFormat="1" ht="15.75" x14ac:dyDescent="0.25">
      <c r="A1594" s="7">
        <v>525701883</v>
      </c>
      <c r="B1594" s="18" t="s">
        <v>3291</v>
      </c>
      <c r="C1594" s="7" t="s">
        <v>3295</v>
      </c>
      <c r="D1594" s="7" t="s">
        <v>3296</v>
      </c>
      <c r="E1594" s="7" t="s">
        <v>2549</v>
      </c>
      <c r="F1594" s="220"/>
      <c r="G1594" s="220"/>
      <c r="H1594" s="220"/>
      <c r="I1594" s="192" t="s">
        <v>1870</v>
      </c>
      <c r="J1594" s="223"/>
    </row>
    <row r="1595" spans="1:10" s="144" customFormat="1" ht="15.75" x14ac:dyDescent="0.25">
      <c r="A1595" s="7">
        <v>525019615</v>
      </c>
      <c r="B1595" s="18" t="s">
        <v>3292</v>
      </c>
      <c r="C1595" s="7" t="s">
        <v>1472</v>
      </c>
      <c r="D1595" s="7" t="s">
        <v>3470</v>
      </c>
      <c r="E1595" s="7" t="s">
        <v>1353</v>
      </c>
      <c r="F1595" s="220"/>
      <c r="G1595" s="220"/>
      <c r="H1595" s="220"/>
      <c r="I1595" s="192" t="s">
        <v>1870</v>
      </c>
      <c r="J1595" s="223"/>
    </row>
    <row r="1596" spans="1:10" s="144" customFormat="1" ht="15.75" x14ac:dyDescent="0.25">
      <c r="A1596" s="7">
        <v>525003030</v>
      </c>
      <c r="B1596" s="18" t="s">
        <v>3293</v>
      </c>
      <c r="C1596" s="7">
        <v>93.9</v>
      </c>
      <c r="D1596" s="83">
        <v>4634</v>
      </c>
      <c r="E1596" s="7">
        <v>7</v>
      </c>
      <c r="F1596" s="220"/>
      <c r="G1596" s="220"/>
      <c r="H1596" s="220"/>
      <c r="I1596" s="192" t="s">
        <v>3297</v>
      </c>
      <c r="J1596" s="223"/>
    </row>
    <row r="1597" spans="1:10" s="144" customFormat="1" ht="15.75" x14ac:dyDescent="0.25">
      <c r="A1597" s="7">
        <v>525501227</v>
      </c>
      <c r="B1597" s="18" t="s">
        <v>3294</v>
      </c>
      <c r="C1597" s="7" t="s">
        <v>2313</v>
      </c>
      <c r="D1597" s="7" t="s">
        <v>2752</v>
      </c>
      <c r="E1597" s="7" t="s">
        <v>1370</v>
      </c>
      <c r="F1597" s="220"/>
      <c r="G1597" s="220"/>
      <c r="H1597" s="220"/>
      <c r="I1597" s="192" t="s">
        <v>3298</v>
      </c>
      <c r="J1597" s="223"/>
    </row>
    <row r="1598" spans="1:10" s="144" customFormat="1" ht="12.75" x14ac:dyDescent="0.25">
      <c r="A1598" s="7">
        <v>525125011</v>
      </c>
      <c r="B1598" s="18" t="s">
        <v>3301</v>
      </c>
      <c r="C1598" s="7">
        <v>124</v>
      </c>
      <c r="D1598" s="83">
        <v>8588</v>
      </c>
      <c r="E1598" s="7">
        <v>4.5999999999999996</v>
      </c>
      <c r="F1598" s="220"/>
      <c r="G1598" s="220"/>
      <c r="H1598" s="220"/>
      <c r="I1598" s="221"/>
      <c r="J1598" s="223"/>
    </row>
    <row r="1599" spans="1:10" s="144" customFormat="1" ht="12.75" x14ac:dyDescent="0.25">
      <c r="A1599" s="7">
        <v>525015391</v>
      </c>
      <c r="B1599" s="18" t="s">
        <v>3302</v>
      </c>
      <c r="C1599" s="7">
        <v>120</v>
      </c>
      <c r="D1599" s="83">
        <v>6285</v>
      </c>
      <c r="E1599" s="7">
        <v>5.6</v>
      </c>
      <c r="F1599" s="220"/>
      <c r="G1599" s="220"/>
      <c r="H1599" s="220"/>
      <c r="I1599" s="221"/>
      <c r="J1599" s="223"/>
    </row>
    <row r="1600" spans="1:10" s="144" customFormat="1" ht="12.75" x14ac:dyDescent="0.25">
      <c r="A1600" s="7">
        <v>371602000</v>
      </c>
      <c r="B1600" s="18" t="s">
        <v>3300</v>
      </c>
      <c r="C1600" s="7">
        <v>243</v>
      </c>
      <c r="D1600" s="83">
        <v>37518</v>
      </c>
      <c r="E1600" s="7">
        <v>10.6</v>
      </c>
      <c r="F1600" s="220"/>
      <c r="G1600" s="220"/>
      <c r="H1600" s="220"/>
      <c r="I1600" s="221"/>
      <c r="J1600" s="223"/>
    </row>
    <row r="1601" spans="1:10" s="144" customFormat="1" ht="12.75" x14ac:dyDescent="0.25">
      <c r="A1601" s="7">
        <v>636013117</v>
      </c>
      <c r="B1601" s="18" t="s">
        <v>3299</v>
      </c>
      <c r="C1601" s="7">
        <v>133.4</v>
      </c>
      <c r="D1601" s="83">
        <v>27916</v>
      </c>
      <c r="E1601" s="7">
        <v>7</v>
      </c>
      <c r="F1601" s="220"/>
      <c r="G1601" s="220"/>
      <c r="H1601" s="220"/>
      <c r="I1601" s="23" t="s">
        <v>160</v>
      </c>
      <c r="J1601" s="223"/>
    </row>
    <row r="1602" spans="1:10" s="144" customFormat="1" ht="12.75" x14ac:dyDescent="0.25">
      <c r="A1602" s="7">
        <v>477410100</v>
      </c>
      <c r="B1602" s="22" t="s">
        <v>3303</v>
      </c>
      <c r="C1602" s="220">
        <v>229</v>
      </c>
      <c r="D1602" s="220">
        <v>43506</v>
      </c>
      <c r="E1602" s="10" t="s">
        <v>967</v>
      </c>
      <c r="F1602" s="220"/>
      <c r="G1602" s="220"/>
      <c r="H1602" s="220"/>
      <c r="I1602" s="23" t="s">
        <v>516</v>
      </c>
      <c r="J1602" s="223"/>
    </row>
    <row r="1603" spans="1:10" s="144" customFormat="1" ht="12.75" x14ac:dyDescent="0.25">
      <c r="A1603" s="7">
        <v>636021689</v>
      </c>
      <c r="B1603" s="22" t="s">
        <v>3304</v>
      </c>
      <c r="C1603" s="220">
        <v>124</v>
      </c>
      <c r="D1603" s="220">
        <v>7206</v>
      </c>
      <c r="E1603" s="10" t="s">
        <v>1935</v>
      </c>
      <c r="F1603" s="220"/>
      <c r="G1603" s="220"/>
      <c r="H1603" s="220"/>
      <c r="I1603" s="23" t="s">
        <v>40</v>
      </c>
      <c r="J1603" s="223"/>
    </row>
    <row r="1604" spans="1:10" s="144" customFormat="1" ht="12.75" x14ac:dyDescent="0.25">
      <c r="A1604" s="7">
        <v>525700421</v>
      </c>
      <c r="B1604" s="22" t="s">
        <v>3305</v>
      </c>
      <c r="C1604" s="10" t="s">
        <v>3306</v>
      </c>
      <c r="D1604" s="220">
        <v>222</v>
      </c>
      <c r="E1604" s="10" t="s">
        <v>1660</v>
      </c>
      <c r="F1604" s="220"/>
      <c r="G1604" s="220"/>
      <c r="H1604" s="220"/>
      <c r="I1604" s="23" t="s">
        <v>245</v>
      </c>
      <c r="J1604" s="223"/>
    </row>
    <row r="1605" spans="1:10" s="144" customFormat="1" ht="12.75" x14ac:dyDescent="0.25">
      <c r="A1605" s="7">
        <v>525500009</v>
      </c>
      <c r="B1605" s="22" t="s">
        <v>3308</v>
      </c>
      <c r="C1605" s="10" t="s">
        <v>3309</v>
      </c>
      <c r="D1605" s="10" t="s">
        <v>3310</v>
      </c>
      <c r="E1605" s="10" t="s">
        <v>3311</v>
      </c>
      <c r="F1605" s="220"/>
      <c r="G1605" s="220"/>
      <c r="H1605" s="220"/>
      <c r="I1605" s="23" t="s">
        <v>39</v>
      </c>
      <c r="J1605" s="223"/>
    </row>
    <row r="1606" spans="1:10" s="144" customFormat="1" ht="12.75" x14ac:dyDescent="0.25">
      <c r="A1606" s="7">
        <v>525300259</v>
      </c>
      <c r="B1606" s="22" t="s">
        <v>3312</v>
      </c>
      <c r="C1606" s="10" t="s">
        <v>3313</v>
      </c>
      <c r="D1606" s="10" t="s">
        <v>3314</v>
      </c>
      <c r="E1606" s="10" t="s">
        <v>1365</v>
      </c>
      <c r="F1606" s="220"/>
      <c r="G1606" s="220"/>
      <c r="H1606" s="220"/>
      <c r="I1606" s="23" t="s">
        <v>46</v>
      </c>
      <c r="J1606" s="223"/>
    </row>
    <row r="1607" spans="1:10" s="144" customFormat="1" ht="12.75" x14ac:dyDescent="0.25">
      <c r="A1607" s="7">
        <v>525201449</v>
      </c>
      <c r="B1607" s="18" t="s">
        <v>3315</v>
      </c>
      <c r="C1607" s="10" t="s">
        <v>3318</v>
      </c>
      <c r="D1607" s="10" t="s">
        <v>3319</v>
      </c>
      <c r="E1607" s="10" t="s">
        <v>2596</v>
      </c>
      <c r="F1607" s="220"/>
      <c r="G1607" s="220"/>
      <c r="H1607" s="220"/>
      <c r="I1607" s="23" t="s">
        <v>3038</v>
      </c>
      <c r="J1607" s="223"/>
    </row>
    <row r="1608" spans="1:10" s="144" customFormat="1" ht="12.75" x14ac:dyDescent="0.25">
      <c r="A1608" s="7">
        <v>525201546</v>
      </c>
      <c r="B1608" s="18" t="s">
        <v>3316</v>
      </c>
      <c r="C1608" s="10" t="s">
        <v>3320</v>
      </c>
      <c r="D1608" s="10" t="s">
        <v>3321</v>
      </c>
      <c r="E1608" s="10" t="s">
        <v>2596</v>
      </c>
      <c r="F1608" s="220"/>
      <c r="G1608" s="220"/>
      <c r="H1608" s="220"/>
      <c r="I1608" s="23" t="s">
        <v>39</v>
      </c>
      <c r="J1608" s="223"/>
    </row>
    <row r="1609" spans="1:10" s="144" customFormat="1" ht="12.75" x14ac:dyDescent="0.25">
      <c r="A1609" s="7">
        <v>636025023</v>
      </c>
      <c r="B1609" s="18" t="s">
        <v>3317</v>
      </c>
      <c r="C1609" s="220">
        <v>183</v>
      </c>
      <c r="D1609" s="220">
        <v>29660</v>
      </c>
      <c r="E1609" s="10" t="s">
        <v>1638</v>
      </c>
      <c r="F1609" s="220"/>
      <c r="G1609" s="220"/>
      <c r="H1609" s="220"/>
      <c r="I1609" s="221"/>
      <c r="J1609" s="223"/>
    </row>
    <row r="1610" spans="1:10" s="144" customFormat="1" ht="12.75" x14ac:dyDescent="0.25">
      <c r="A1610" s="7">
        <v>209279000</v>
      </c>
      <c r="B1610" s="22" t="s">
        <v>3322</v>
      </c>
      <c r="C1610" s="220">
        <v>190</v>
      </c>
      <c r="D1610" s="220">
        <v>31167</v>
      </c>
      <c r="E1610" s="10" t="s">
        <v>967</v>
      </c>
      <c r="F1610" s="220"/>
      <c r="G1610" s="220"/>
      <c r="H1610" s="220"/>
      <c r="I1610" s="23" t="s">
        <v>273</v>
      </c>
      <c r="J1610" s="223"/>
    </row>
    <row r="1611" spans="1:10" s="144" customFormat="1" ht="12.75" x14ac:dyDescent="0.25">
      <c r="A1611" s="7">
        <v>525201634</v>
      </c>
      <c r="B1611" s="22" t="s">
        <v>3323</v>
      </c>
      <c r="C1611" s="220">
        <v>99</v>
      </c>
      <c r="D1611" s="220">
        <v>2868</v>
      </c>
      <c r="E1611" s="10" t="s">
        <v>1105</v>
      </c>
      <c r="F1611" s="220"/>
      <c r="G1611" s="220"/>
      <c r="H1611" s="220"/>
      <c r="I1611" s="221"/>
      <c r="J1611" s="223"/>
    </row>
    <row r="1612" spans="1:10" s="144" customFormat="1" ht="12.75" x14ac:dyDescent="0.25">
      <c r="A1612" s="7">
        <v>525115062</v>
      </c>
      <c r="B1612" s="22" t="s">
        <v>3324</v>
      </c>
      <c r="C1612" s="10" t="s">
        <v>3325</v>
      </c>
      <c r="D1612" s="220">
        <v>381</v>
      </c>
      <c r="E1612" s="10" t="s">
        <v>3326</v>
      </c>
      <c r="F1612" s="220"/>
      <c r="G1612" s="220"/>
      <c r="H1612" s="220"/>
      <c r="I1612" s="23" t="s">
        <v>2096</v>
      </c>
      <c r="J1612" s="223"/>
    </row>
    <row r="1613" spans="1:10" s="144" customFormat="1" ht="12.75" x14ac:dyDescent="0.25">
      <c r="A1613" s="7">
        <v>257117000</v>
      </c>
      <c r="B1613" s="22" t="s">
        <v>3328</v>
      </c>
      <c r="C1613" s="10" t="s">
        <v>1299</v>
      </c>
      <c r="D1613" s="220">
        <v>35835</v>
      </c>
      <c r="E1613" s="10" t="s">
        <v>1016</v>
      </c>
      <c r="F1613" s="220"/>
      <c r="G1613" s="220"/>
      <c r="H1613" s="220"/>
      <c r="I1613" s="23" t="s">
        <v>154</v>
      </c>
      <c r="J1613" s="223"/>
    </row>
    <row r="1614" spans="1:10" s="144" customFormat="1" ht="12.75" x14ac:dyDescent="0.25">
      <c r="A1614" s="7">
        <v>573290000</v>
      </c>
      <c r="B1614" s="18" t="s">
        <v>3331</v>
      </c>
      <c r="C1614" s="7">
        <v>176</v>
      </c>
      <c r="D1614" s="7">
        <v>25382</v>
      </c>
      <c r="E1614" s="7">
        <v>7</v>
      </c>
      <c r="F1614" s="220"/>
      <c r="G1614" s="220"/>
      <c r="H1614" s="220"/>
      <c r="I1614" s="23" t="s">
        <v>160</v>
      </c>
      <c r="J1614" s="223"/>
    </row>
    <row r="1615" spans="1:10" s="144" customFormat="1" ht="12.75" x14ac:dyDescent="0.25">
      <c r="A1615" s="7">
        <v>525400803</v>
      </c>
      <c r="B1615" s="18" t="s">
        <v>3329</v>
      </c>
      <c r="C1615" s="7" t="s">
        <v>296</v>
      </c>
      <c r="D1615" s="7" t="s">
        <v>3332</v>
      </c>
      <c r="E1615" s="135" t="s">
        <v>1060</v>
      </c>
      <c r="F1615" s="220"/>
      <c r="G1615" s="220"/>
      <c r="H1615" s="220"/>
      <c r="I1615" s="23" t="s">
        <v>2002</v>
      </c>
      <c r="J1615" s="223"/>
    </row>
    <row r="1616" spans="1:10" s="144" customFormat="1" ht="12.75" x14ac:dyDescent="0.25">
      <c r="A1616" s="7">
        <v>525123030</v>
      </c>
      <c r="B1616" s="18" t="s">
        <v>3330</v>
      </c>
      <c r="C1616" s="7">
        <v>118</v>
      </c>
      <c r="D1616" s="7">
        <v>7542</v>
      </c>
      <c r="E1616" s="7">
        <v>5.0999999999999996</v>
      </c>
      <c r="F1616" s="220"/>
      <c r="G1616" s="220"/>
      <c r="H1616" s="220"/>
      <c r="I1616" s="221"/>
      <c r="J1616" s="223"/>
    </row>
    <row r="1617" spans="1:10" s="144" customFormat="1" ht="12.75" x14ac:dyDescent="0.25">
      <c r="A1617" s="7">
        <v>525019416</v>
      </c>
      <c r="B1617" s="22" t="s">
        <v>3333</v>
      </c>
      <c r="C1617" s="220">
        <v>88</v>
      </c>
      <c r="D1617" s="220">
        <v>3127</v>
      </c>
      <c r="E1617" s="10" t="s">
        <v>95</v>
      </c>
      <c r="F1617" s="220"/>
      <c r="G1617" s="220"/>
      <c r="H1617" s="220"/>
      <c r="I1617" s="221"/>
      <c r="J1617" s="223"/>
    </row>
    <row r="1618" spans="1:10" s="144" customFormat="1" ht="12.75" x14ac:dyDescent="0.25">
      <c r="A1618" s="7">
        <v>525024228</v>
      </c>
      <c r="B1618" s="22" t="s">
        <v>3334</v>
      </c>
      <c r="C1618" s="10" t="s">
        <v>3335</v>
      </c>
      <c r="D1618" s="220">
        <v>1089</v>
      </c>
      <c r="E1618" s="10" t="s">
        <v>3069</v>
      </c>
      <c r="F1618" s="220"/>
      <c r="G1618" s="220"/>
      <c r="H1618" s="220"/>
      <c r="I1618" s="23" t="s">
        <v>2398</v>
      </c>
      <c r="J1618" s="223"/>
    </row>
    <row r="1619" spans="1:10" s="144" customFormat="1" ht="12.75" x14ac:dyDescent="0.25">
      <c r="A1619" s="7">
        <v>525018006</v>
      </c>
      <c r="B1619" s="22" t="s">
        <v>3340</v>
      </c>
      <c r="C1619" s="220">
        <v>115</v>
      </c>
      <c r="D1619" s="220">
        <v>7497</v>
      </c>
      <c r="E1619" s="10" t="s">
        <v>984</v>
      </c>
      <c r="F1619" s="220"/>
      <c r="G1619" s="220"/>
      <c r="H1619" s="220"/>
      <c r="I1619" s="23" t="s">
        <v>1584</v>
      </c>
      <c r="J1619" s="223"/>
    </row>
    <row r="1620" spans="1:10" s="144" customFormat="1" ht="12.75" x14ac:dyDescent="0.25">
      <c r="A1620" s="7">
        <v>525003430</v>
      </c>
      <c r="B1620" s="22" t="s">
        <v>3341</v>
      </c>
      <c r="C1620" s="220">
        <v>94</v>
      </c>
      <c r="D1620" s="220">
        <v>4635</v>
      </c>
      <c r="E1620" s="10" t="s">
        <v>59</v>
      </c>
      <c r="F1620" s="220"/>
      <c r="G1620" s="220"/>
      <c r="H1620" s="220"/>
      <c r="I1620" s="23" t="s">
        <v>2398</v>
      </c>
      <c r="J1620" s="223"/>
    </row>
    <row r="1621" spans="1:10" s="144" customFormat="1" ht="12.75" x14ac:dyDescent="0.25">
      <c r="A1621" s="7">
        <v>209889000</v>
      </c>
      <c r="B1621" s="22" t="s">
        <v>3343</v>
      </c>
      <c r="C1621" s="220">
        <v>229</v>
      </c>
      <c r="D1621" s="220">
        <v>47279</v>
      </c>
      <c r="E1621" s="10" t="s">
        <v>824</v>
      </c>
      <c r="F1621" s="220"/>
      <c r="G1621" s="220"/>
      <c r="H1621" s="220"/>
      <c r="I1621" s="221"/>
      <c r="J1621" s="223"/>
    </row>
    <row r="1622" spans="1:10" s="144" customFormat="1" ht="15.75" x14ac:dyDescent="0.25">
      <c r="A1622" s="7">
        <v>525020368</v>
      </c>
      <c r="B1622" s="18" t="s">
        <v>3342</v>
      </c>
      <c r="C1622" s="192">
        <v>66.89</v>
      </c>
      <c r="D1622" s="192">
        <v>1135</v>
      </c>
      <c r="E1622" s="192">
        <v>2</v>
      </c>
      <c r="F1622" s="220"/>
      <c r="G1622" s="220"/>
      <c r="H1622" s="220"/>
      <c r="I1622" s="23" t="s">
        <v>39</v>
      </c>
      <c r="J1622" s="223"/>
    </row>
    <row r="1623" spans="1:10" s="144" customFormat="1" ht="12.75" x14ac:dyDescent="0.25">
      <c r="A1623" s="7">
        <v>525501850</v>
      </c>
      <c r="B1623" s="22" t="s">
        <v>3349</v>
      </c>
      <c r="C1623" s="10" t="s">
        <v>3350</v>
      </c>
      <c r="D1623" s="10" t="s">
        <v>3351</v>
      </c>
      <c r="E1623" s="10" t="s">
        <v>3141</v>
      </c>
      <c r="F1623" s="220"/>
      <c r="G1623" s="220"/>
      <c r="H1623" s="220"/>
      <c r="I1623" s="23" t="s">
        <v>39</v>
      </c>
      <c r="J1623" s="223"/>
    </row>
    <row r="1624" spans="1:10" s="144" customFormat="1" ht="12.75" x14ac:dyDescent="0.25">
      <c r="A1624" s="7">
        <v>525101852</v>
      </c>
      <c r="B1624" s="22" t="s">
        <v>3359</v>
      </c>
      <c r="C1624" s="10" t="s">
        <v>3360</v>
      </c>
      <c r="D1624" s="10" t="s">
        <v>3361</v>
      </c>
      <c r="E1624" s="10" t="s">
        <v>3362</v>
      </c>
      <c r="F1624" s="220"/>
      <c r="G1624" s="220"/>
      <c r="H1624" s="220"/>
      <c r="I1624" s="221"/>
      <c r="J1624" s="223"/>
    </row>
    <row r="1625" spans="1:10" s="144" customFormat="1" ht="12.75" x14ac:dyDescent="0.25">
      <c r="A1625" s="7">
        <v>525901194</v>
      </c>
      <c r="B1625" s="18" t="s">
        <v>3363</v>
      </c>
      <c r="C1625" s="7">
        <v>129</v>
      </c>
      <c r="D1625" s="83">
        <v>6182</v>
      </c>
      <c r="E1625" s="7">
        <v>3.3</v>
      </c>
      <c r="F1625" s="10"/>
      <c r="G1625" s="10"/>
      <c r="H1625" s="10"/>
      <c r="I1625" s="7" t="s">
        <v>46</v>
      </c>
      <c r="J1625" s="223"/>
    </row>
    <row r="1626" spans="1:10" s="144" customFormat="1" ht="12.75" x14ac:dyDescent="0.25">
      <c r="A1626" s="7">
        <v>525300050</v>
      </c>
      <c r="B1626" s="18" t="s">
        <v>3479</v>
      </c>
      <c r="C1626" s="7" t="s">
        <v>3480</v>
      </c>
      <c r="D1626" s="7" t="s">
        <v>3481</v>
      </c>
      <c r="E1626" s="7" t="s">
        <v>2596</v>
      </c>
      <c r="F1626" s="10"/>
      <c r="G1626" s="10"/>
      <c r="H1626" s="10"/>
      <c r="I1626" s="7" t="s">
        <v>3038</v>
      </c>
      <c r="J1626" s="223"/>
    </row>
    <row r="1627" spans="1:10" s="144" customFormat="1" ht="12.75" x14ac:dyDescent="0.25">
      <c r="A1627" s="7">
        <v>525008119</v>
      </c>
      <c r="B1627" s="22" t="s">
        <v>3364</v>
      </c>
      <c r="C1627" s="220">
        <v>158</v>
      </c>
      <c r="D1627" s="220">
        <v>14458</v>
      </c>
      <c r="E1627" s="10" t="s">
        <v>766</v>
      </c>
      <c r="F1627" s="220"/>
      <c r="G1627" s="220"/>
      <c r="H1627" s="220"/>
      <c r="I1627" s="23" t="s">
        <v>96</v>
      </c>
      <c r="J1627" s="223"/>
    </row>
    <row r="1628" spans="1:10" s="144" customFormat="1" ht="12.75" x14ac:dyDescent="0.25">
      <c r="A1628" s="7">
        <v>525201010</v>
      </c>
      <c r="B1628" s="22" t="s">
        <v>3369</v>
      </c>
      <c r="C1628" s="10" t="s">
        <v>3370</v>
      </c>
      <c r="D1628" s="10" t="s">
        <v>3371</v>
      </c>
      <c r="E1628" s="10" t="s">
        <v>3372</v>
      </c>
      <c r="F1628" s="220"/>
      <c r="G1628" s="220"/>
      <c r="H1628" s="220"/>
      <c r="I1628" s="23" t="s">
        <v>71</v>
      </c>
      <c r="J1628" s="223"/>
    </row>
    <row r="1629" spans="1:10" s="144" customFormat="1" ht="12.75" x14ac:dyDescent="0.25">
      <c r="A1629" s="7">
        <v>525023311</v>
      </c>
      <c r="B1629" s="22" t="s">
        <v>3378</v>
      </c>
      <c r="C1629" s="10" t="s">
        <v>3382</v>
      </c>
      <c r="D1629" s="10" t="s">
        <v>3383</v>
      </c>
      <c r="E1629" s="10" t="s">
        <v>897</v>
      </c>
      <c r="F1629" s="220"/>
      <c r="G1629" s="220"/>
      <c r="H1629" s="220"/>
      <c r="I1629" s="23" t="s">
        <v>46</v>
      </c>
      <c r="J1629" s="223"/>
    </row>
    <row r="1630" spans="1:10" s="144" customFormat="1" ht="12.75" x14ac:dyDescent="0.25">
      <c r="A1630" s="7">
        <v>538005967</v>
      </c>
      <c r="B1630" s="22" t="s">
        <v>3379</v>
      </c>
      <c r="C1630" s="220">
        <v>142</v>
      </c>
      <c r="D1630" s="220">
        <v>10369</v>
      </c>
      <c r="E1630" s="10" t="s">
        <v>889</v>
      </c>
      <c r="F1630" s="220"/>
      <c r="G1630" s="220"/>
      <c r="H1630" s="220"/>
      <c r="I1630" s="23" t="s">
        <v>150</v>
      </c>
      <c r="J1630" s="223"/>
    </row>
    <row r="1631" spans="1:10" s="144" customFormat="1" ht="12.75" x14ac:dyDescent="0.25">
      <c r="A1631" s="7">
        <v>477950900</v>
      </c>
      <c r="B1631" s="22" t="s">
        <v>3380</v>
      </c>
      <c r="C1631" s="220">
        <v>115</v>
      </c>
      <c r="D1631" s="220">
        <v>6028</v>
      </c>
      <c r="E1631" s="10" t="s">
        <v>834</v>
      </c>
      <c r="F1631" s="220"/>
      <c r="G1631" s="220"/>
      <c r="H1631" s="220"/>
      <c r="I1631" s="23" t="s">
        <v>1895</v>
      </c>
      <c r="J1631" s="223"/>
    </row>
    <row r="1632" spans="1:10" s="144" customFormat="1" ht="12.75" x14ac:dyDescent="0.25">
      <c r="A1632" s="7">
        <v>538009872</v>
      </c>
      <c r="B1632" s="22" t="s">
        <v>3381</v>
      </c>
      <c r="C1632" s="220">
        <v>182</v>
      </c>
      <c r="D1632" s="220">
        <v>29902</v>
      </c>
      <c r="E1632" s="10" t="s">
        <v>3040</v>
      </c>
      <c r="F1632" s="220"/>
      <c r="G1632" s="220"/>
      <c r="H1632" s="220"/>
      <c r="I1632" s="23" t="s">
        <v>160</v>
      </c>
      <c r="J1632" s="223"/>
    </row>
    <row r="1633" spans="1:10" s="144" customFormat="1" ht="12.75" x14ac:dyDescent="0.25">
      <c r="A1633" s="7">
        <v>525003252</v>
      </c>
      <c r="B1633" s="22" t="s">
        <v>3387</v>
      </c>
      <c r="C1633" s="10" t="s">
        <v>3384</v>
      </c>
      <c r="D1633" s="10" t="s">
        <v>3385</v>
      </c>
      <c r="E1633" s="10" t="s">
        <v>3386</v>
      </c>
      <c r="F1633" s="220"/>
      <c r="G1633" s="220"/>
      <c r="H1633" s="220"/>
      <c r="I1633" s="23" t="s">
        <v>245</v>
      </c>
      <c r="J1633" s="223"/>
    </row>
    <row r="1634" spans="1:10" s="144" customFormat="1" ht="12.75" x14ac:dyDescent="0.25">
      <c r="A1634" s="7">
        <v>413367780</v>
      </c>
      <c r="B1634" s="22" t="s">
        <v>3388</v>
      </c>
      <c r="C1634" s="220">
        <v>132</v>
      </c>
      <c r="D1634" s="220">
        <v>7041</v>
      </c>
      <c r="E1634" s="10" t="s">
        <v>106</v>
      </c>
      <c r="F1634" s="220"/>
      <c r="G1634" s="220"/>
      <c r="H1634" s="220"/>
      <c r="I1634" s="23" t="s">
        <v>2096</v>
      </c>
      <c r="J1634" s="223"/>
    </row>
    <row r="1635" spans="1:10" s="144" customFormat="1" ht="12.75" x14ac:dyDescent="0.25">
      <c r="A1635" s="7">
        <v>525003147</v>
      </c>
      <c r="B1635" s="22" t="s">
        <v>3389</v>
      </c>
      <c r="C1635" s="10" t="s">
        <v>3390</v>
      </c>
      <c r="D1635" s="10" t="s">
        <v>3391</v>
      </c>
      <c r="E1635" s="10" t="s">
        <v>1629</v>
      </c>
      <c r="F1635" s="220"/>
      <c r="G1635" s="220"/>
      <c r="H1635" s="220"/>
      <c r="I1635" s="23" t="s">
        <v>249</v>
      </c>
      <c r="J1635" s="223"/>
    </row>
    <row r="1636" spans="1:10" s="144" customFormat="1" ht="12.75" x14ac:dyDescent="0.25">
      <c r="A1636" s="7">
        <v>525201456</v>
      </c>
      <c r="B1636" s="22" t="s">
        <v>3392</v>
      </c>
      <c r="C1636" s="10" t="s">
        <v>3393</v>
      </c>
      <c r="D1636" s="220">
        <v>2995</v>
      </c>
      <c r="E1636" s="10" t="s">
        <v>726</v>
      </c>
      <c r="F1636" s="220"/>
      <c r="G1636" s="220"/>
      <c r="H1636" s="220"/>
      <c r="I1636" s="23" t="s">
        <v>2398</v>
      </c>
      <c r="J1636" s="223"/>
    </row>
    <row r="1637" spans="1:10" s="144" customFormat="1" ht="12.75" x14ac:dyDescent="0.25">
      <c r="A1637" s="7">
        <v>525010135</v>
      </c>
      <c r="B1637" s="22" t="s">
        <v>3394</v>
      </c>
      <c r="C1637" s="10" t="s">
        <v>1295</v>
      </c>
      <c r="D1637" s="10" t="s">
        <v>1296</v>
      </c>
      <c r="E1637" s="10" t="s">
        <v>3519</v>
      </c>
      <c r="F1637" s="220"/>
      <c r="G1637" s="220"/>
      <c r="H1637" s="220"/>
      <c r="I1637" s="23" t="s">
        <v>3487</v>
      </c>
      <c r="J1637" s="223"/>
    </row>
    <row r="1638" spans="1:10" s="144" customFormat="1" ht="12.75" x14ac:dyDescent="0.25">
      <c r="A1638" s="7">
        <v>525007188</v>
      </c>
      <c r="B1638" s="22" t="s">
        <v>3451</v>
      </c>
      <c r="C1638" s="10" t="s">
        <v>3452</v>
      </c>
      <c r="D1638" s="10" t="s">
        <v>3395</v>
      </c>
      <c r="E1638" s="10" t="s">
        <v>3453</v>
      </c>
      <c r="F1638" s="220"/>
      <c r="G1638" s="220"/>
      <c r="H1638" s="220"/>
      <c r="I1638" s="23" t="s">
        <v>1432</v>
      </c>
      <c r="J1638" s="223"/>
    </row>
    <row r="1639" spans="1:10" s="144" customFormat="1" ht="12.75" x14ac:dyDescent="0.25">
      <c r="A1639" s="7">
        <v>525021086</v>
      </c>
      <c r="B1639" s="22" t="s">
        <v>3397</v>
      </c>
      <c r="C1639" s="10" t="s">
        <v>3398</v>
      </c>
      <c r="D1639" s="10" t="s">
        <v>3399</v>
      </c>
      <c r="E1639" s="10" t="s">
        <v>3164</v>
      </c>
      <c r="F1639" s="220"/>
      <c r="G1639" s="220"/>
      <c r="H1639" s="220"/>
      <c r="I1639" s="23" t="s">
        <v>39</v>
      </c>
      <c r="J1639" s="223"/>
    </row>
    <row r="1640" spans="1:10" s="144" customFormat="1" ht="12.75" x14ac:dyDescent="0.25">
      <c r="A1640" s="7">
        <v>525008046</v>
      </c>
      <c r="B1640" s="22" t="s">
        <v>3400</v>
      </c>
      <c r="C1640" s="220">
        <v>105</v>
      </c>
      <c r="D1640" s="220">
        <v>5263</v>
      </c>
      <c r="E1640" s="10" t="s">
        <v>126</v>
      </c>
      <c r="F1640" s="220"/>
      <c r="G1640" s="220"/>
      <c r="H1640" s="220"/>
      <c r="I1640" s="23" t="s">
        <v>96</v>
      </c>
      <c r="J1640" s="223"/>
    </row>
    <row r="1641" spans="1:10" s="144" customFormat="1" ht="12.75" x14ac:dyDescent="0.25">
      <c r="A1641" s="7">
        <v>353757000</v>
      </c>
      <c r="B1641" s="22" t="s">
        <v>3401</v>
      </c>
      <c r="C1641" s="220">
        <v>102</v>
      </c>
      <c r="D1641" s="220">
        <v>4264</v>
      </c>
      <c r="E1641" s="10" t="s">
        <v>980</v>
      </c>
      <c r="F1641" s="220"/>
      <c r="G1641" s="220"/>
      <c r="H1641" s="220"/>
      <c r="I1641" s="23" t="s">
        <v>1870</v>
      </c>
      <c r="J1641" s="223"/>
    </row>
    <row r="1642" spans="1:10" s="144" customFormat="1" ht="12.75" x14ac:dyDescent="0.25">
      <c r="A1642" s="7">
        <v>525601511</v>
      </c>
      <c r="B1642" s="22" t="s">
        <v>3402</v>
      </c>
      <c r="C1642" s="220">
        <v>60</v>
      </c>
      <c r="D1642" s="220">
        <v>1992</v>
      </c>
      <c r="E1642" s="10" t="s">
        <v>1660</v>
      </c>
      <c r="F1642" s="220"/>
      <c r="G1642" s="220"/>
      <c r="H1642" s="220"/>
      <c r="I1642" s="221"/>
      <c r="J1642" s="223"/>
    </row>
    <row r="1643" spans="1:10" s="144" customFormat="1" ht="12.75" x14ac:dyDescent="0.25">
      <c r="A1643" s="7">
        <v>514306424</v>
      </c>
      <c r="B1643" s="22" t="s">
        <v>3403</v>
      </c>
      <c r="C1643" s="10">
        <v>93</v>
      </c>
      <c r="D1643" s="10">
        <v>1263</v>
      </c>
      <c r="E1643" s="10" t="s">
        <v>86</v>
      </c>
      <c r="F1643" s="10"/>
      <c r="G1643" s="10"/>
      <c r="H1643" s="10"/>
      <c r="I1643" s="23" t="s">
        <v>2398</v>
      </c>
      <c r="J1643" s="223"/>
    </row>
    <row r="1644" spans="1:10" s="144" customFormat="1" ht="12.75" x14ac:dyDescent="0.25">
      <c r="A1644" s="7">
        <v>525801935</v>
      </c>
      <c r="B1644" s="22" t="s">
        <v>3404</v>
      </c>
      <c r="C1644" s="10" t="s">
        <v>862</v>
      </c>
      <c r="D1644" s="10" t="s">
        <v>3405</v>
      </c>
      <c r="E1644" s="10" t="s">
        <v>3406</v>
      </c>
      <c r="F1644" s="10"/>
      <c r="G1644" s="10"/>
      <c r="H1644" s="10"/>
      <c r="I1644" s="23" t="s">
        <v>1432</v>
      </c>
      <c r="J1644" s="223"/>
    </row>
    <row r="1645" spans="1:10" s="144" customFormat="1" ht="12.75" x14ac:dyDescent="0.25">
      <c r="A1645" s="7">
        <v>477559100</v>
      </c>
      <c r="B1645" s="22" t="s">
        <v>3407</v>
      </c>
      <c r="C1645" s="10">
        <v>292</v>
      </c>
      <c r="D1645" s="10">
        <v>91373</v>
      </c>
      <c r="E1645" s="10" t="s">
        <v>1782</v>
      </c>
      <c r="F1645" s="10"/>
      <c r="G1645" s="10"/>
      <c r="H1645" s="10"/>
      <c r="I1645" s="23"/>
      <c r="J1645" s="223"/>
    </row>
    <row r="1646" spans="1:10" s="144" customFormat="1" ht="12.75" x14ac:dyDescent="0.25">
      <c r="A1646" s="7">
        <v>525021169</v>
      </c>
      <c r="B1646" s="22" t="s">
        <v>3408</v>
      </c>
      <c r="C1646" s="10" t="s">
        <v>3409</v>
      </c>
      <c r="D1646" s="10" t="s">
        <v>3410</v>
      </c>
      <c r="E1646" s="10" t="s">
        <v>2596</v>
      </c>
      <c r="F1646" s="10"/>
      <c r="G1646" s="10"/>
      <c r="H1646" s="10"/>
      <c r="I1646" s="23" t="s">
        <v>41</v>
      </c>
      <c r="J1646" s="223"/>
    </row>
    <row r="1647" spans="1:10" s="144" customFormat="1" ht="12.75" x14ac:dyDescent="0.25">
      <c r="A1647" s="7">
        <v>636021456</v>
      </c>
      <c r="B1647" s="22" t="s">
        <v>3417</v>
      </c>
      <c r="C1647" s="10" t="s">
        <v>3413</v>
      </c>
      <c r="D1647" s="10">
        <v>43324</v>
      </c>
      <c r="E1647" s="10" t="s">
        <v>967</v>
      </c>
      <c r="F1647" s="10"/>
      <c r="G1647" s="10"/>
      <c r="H1647" s="10"/>
      <c r="I1647" s="23" t="s">
        <v>2161</v>
      </c>
      <c r="J1647" s="223"/>
    </row>
    <row r="1648" spans="1:10" s="144" customFormat="1" ht="12.75" x14ac:dyDescent="0.25">
      <c r="A1648" s="7">
        <v>525801650</v>
      </c>
      <c r="B1648" s="22" t="s">
        <v>3414</v>
      </c>
      <c r="C1648" s="10" t="s">
        <v>3415</v>
      </c>
      <c r="D1648" s="10" t="s">
        <v>2598</v>
      </c>
      <c r="E1648" s="10" t="s">
        <v>1455</v>
      </c>
      <c r="F1648" s="10"/>
      <c r="G1648" s="10"/>
      <c r="H1648" s="10"/>
      <c r="I1648" s="23" t="s">
        <v>46</v>
      </c>
      <c r="J1648" s="223"/>
    </row>
    <row r="1649" spans="1:10" s="144" customFormat="1" ht="12.75" x14ac:dyDescent="0.25">
      <c r="A1649" s="7">
        <v>525500771</v>
      </c>
      <c r="B1649" s="18" t="s">
        <v>3416</v>
      </c>
      <c r="C1649" s="7">
        <v>49</v>
      </c>
      <c r="D1649" s="7">
        <v>339</v>
      </c>
      <c r="E1649" s="7">
        <v>2.5</v>
      </c>
      <c r="F1649" s="10"/>
      <c r="G1649" s="10"/>
      <c r="H1649" s="10"/>
      <c r="I1649" s="23"/>
      <c r="J1649" s="223"/>
    </row>
    <row r="1650" spans="1:10" s="144" customFormat="1" ht="12.75" x14ac:dyDescent="0.25">
      <c r="A1650" s="7">
        <v>538009637</v>
      </c>
      <c r="B1650" s="22" t="s">
        <v>3418</v>
      </c>
      <c r="C1650" s="10">
        <v>183</v>
      </c>
      <c r="D1650" s="10">
        <v>30048</v>
      </c>
      <c r="E1650" s="10" t="s">
        <v>3419</v>
      </c>
      <c r="F1650" s="10"/>
      <c r="G1650" s="10"/>
      <c r="H1650" s="10"/>
      <c r="I1650" s="23" t="s">
        <v>160</v>
      </c>
      <c r="J1650" s="223"/>
    </row>
    <row r="1651" spans="1:10" s="144" customFormat="1" ht="12.75" x14ac:dyDescent="0.25">
      <c r="A1651" s="7">
        <v>636024972</v>
      </c>
      <c r="B1651" s="22" t="s">
        <v>3420</v>
      </c>
      <c r="C1651" s="10">
        <v>183</v>
      </c>
      <c r="D1651" s="10">
        <v>29887</v>
      </c>
      <c r="E1651" s="10" t="s">
        <v>190</v>
      </c>
      <c r="F1651" s="10"/>
      <c r="G1651" s="10"/>
      <c r="H1651" s="10"/>
      <c r="I1651" s="23" t="s">
        <v>2096</v>
      </c>
      <c r="J1651" s="223"/>
    </row>
    <row r="1652" spans="1:10" s="144" customFormat="1" ht="12.75" x14ac:dyDescent="0.25">
      <c r="A1652" s="7">
        <v>525801271</v>
      </c>
      <c r="B1652" s="22" t="s">
        <v>3421</v>
      </c>
      <c r="C1652" s="10" t="s">
        <v>3422</v>
      </c>
      <c r="D1652" s="10" t="s">
        <v>3423</v>
      </c>
      <c r="E1652" s="10" t="s">
        <v>3424</v>
      </c>
      <c r="F1652" s="10"/>
      <c r="G1652" s="10"/>
      <c r="H1652" s="10"/>
      <c r="I1652" s="23" t="s">
        <v>2002</v>
      </c>
      <c r="J1652" s="223"/>
    </row>
    <row r="1653" spans="1:10" s="144" customFormat="1" ht="12.75" x14ac:dyDescent="0.25">
      <c r="A1653" s="7">
        <v>525003671</v>
      </c>
      <c r="B1653" s="22" t="s">
        <v>3425</v>
      </c>
      <c r="C1653" s="10" t="s">
        <v>940</v>
      </c>
      <c r="D1653" s="10" t="s">
        <v>3432</v>
      </c>
      <c r="E1653" s="10" t="s">
        <v>3426</v>
      </c>
      <c r="F1653" s="10"/>
      <c r="G1653" s="10"/>
      <c r="H1653" s="10"/>
      <c r="I1653" s="7" t="s">
        <v>39</v>
      </c>
      <c r="J1653" s="223"/>
    </row>
    <row r="1654" spans="1:10" s="144" customFormat="1" ht="12.75" x14ac:dyDescent="0.25">
      <c r="A1654" s="7">
        <v>525100097</v>
      </c>
      <c r="B1654" s="18" t="s">
        <v>3433</v>
      </c>
      <c r="C1654" s="7">
        <v>55</v>
      </c>
      <c r="D1654" s="7">
        <v>883</v>
      </c>
      <c r="E1654" s="7">
        <v>2</v>
      </c>
      <c r="F1654" s="10"/>
      <c r="G1654" s="10"/>
      <c r="H1654" s="10"/>
      <c r="I1654" s="7" t="s">
        <v>41</v>
      </c>
      <c r="J1654" s="223"/>
    </row>
    <row r="1655" spans="1:10" s="144" customFormat="1" ht="12.75" x14ac:dyDescent="0.25">
      <c r="A1655" s="7">
        <v>525201067</v>
      </c>
      <c r="B1655" s="18" t="s">
        <v>3434</v>
      </c>
      <c r="C1655" s="7" t="s">
        <v>554</v>
      </c>
      <c r="D1655" s="7" t="s">
        <v>3435</v>
      </c>
      <c r="E1655" s="7" t="s">
        <v>2549</v>
      </c>
      <c r="F1655" s="10"/>
      <c r="G1655" s="10"/>
      <c r="H1655" s="10"/>
      <c r="I1655" s="7"/>
      <c r="J1655" s="223"/>
    </row>
    <row r="1656" spans="1:10" s="144" customFormat="1" ht="12.75" x14ac:dyDescent="0.25">
      <c r="A1656" s="7">
        <v>405000307</v>
      </c>
      <c r="B1656" s="18" t="s">
        <v>3436</v>
      </c>
      <c r="C1656" s="7">
        <v>189</v>
      </c>
      <c r="D1656" s="83">
        <v>30816</v>
      </c>
      <c r="E1656" s="83">
        <v>6.3</v>
      </c>
      <c r="F1656" s="10"/>
      <c r="G1656" s="10"/>
      <c r="H1656" s="10"/>
      <c r="I1656" s="7"/>
      <c r="J1656" s="223"/>
    </row>
    <row r="1657" spans="1:10" s="144" customFormat="1" ht="12.75" x14ac:dyDescent="0.25">
      <c r="A1657" s="7">
        <v>525018194</v>
      </c>
      <c r="B1657" s="18" t="s">
        <v>3437</v>
      </c>
      <c r="C1657" s="7">
        <v>88</v>
      </c>
      <c r="D1657" s="83">
        <v>2177</v>
      </c>
      <c r="E1657" s="83">
        <v>2.8</v>
      </c>
      <c r="F1657" s="10"/>
      <c r="G1657" s="10"/>
      <c r="H1657" s="10"/>
      <c r="I1657" s="23"/>
      <c r="J1657" s="223"/>
    </row>
    <row r="1658" spans="1:10" s="144" customFormat="1" ht="12.75" x14ac:dyDescent="0.25">
      <c r="A1658" s="7">
        <v>525019305</v>
      </c>
      <c r="B1658" s="22" t="s">
        <v>3438</v>
      </c>
      <c r="C1658" s="10" t="s">
        <v>3439</v>
      </c>
      <c r="D1658" s="10" t="s">
        <v>3440</v>
      </c>
      <c r="E1658" s="10" t="s">
        <v>2596</v>
      </c>
      <c r="F1658" s="10"/>
      <c r="G1658" s="10"/>
      <c r="H1658" s="10"/>
      <c r="I1658" s="23" t="s">
        <v>1432</v>
      </c>
      <c r="J1658" s="223"/>
    </row>
    <row r="1659" spans="1:10" s="144" customFormat="1" ht="12.75" x14ac:dyDescent="0.25">
      <c r="A1659" s="7">
        <v>525701655</v>
      </c>
      <c r="B1659" s="22" t="s">
        <v>3447</v>
      </c>
      <c r="C1659" s="10">
        <v>40</v>
      </c>
      <c r="D1659" s="10">
        <v>284</v>
      </c>
      <c r="E1659" s="10" t="s">
        <v>1035</v>
      </c>
      <c r="F1659" s="10"/>
      <c r="G1659" s="10"/>
      <c r="H1659" s="10"/>
      <c r="I1659" s="23" t="s">
        <v>353</v>
      </c>
      <c r="J1659" s="223"/>
    </row>
    <row r="1660" spans="1:10" s="144" customFormat="1" ht="12.75" x14ac:dyDescent="0.25">
      <c r="A1660" s="7">
        <v>525200646</v>
      </c>
      <c r="B1660" s="22" t="s">
        <v>3454</v>
      </c>
      <c r="C1660" s="10">
        <v>45</v>
      </c>
      <c r="D1660" s="10">
        <v>354</v>
      </c>
      <c r="E1660" s="10" t="s">
        <v>3069</v>
      </c>
      <c r="F1660" s="10"/>
      <c r="G1660" s="10"/>
      <c r="H1660" s="10"/>
      <c r="I1660" s="23" t="s">
        <v>1432</v>
      </c>
      <c r="J1660" s="223"/>
    </row>
    <row r="1661" spans="1:10" s="144" customFormat="1" ht="12.75" x14ac:dyDescent="0.25">
      <c r="A1661" s="7">
        <v>525007356</v>
      </c>
      <c r="B1661" s="22" t="s">
        <v>3455</v>
      </c>
      <c r="C1661" s="10" t="s">
        <v>3456</v>
      </c>
      <c r="D1661" s="10" t="s">
        <v>275</v>
      </c>
      <c r="E1661" s="10" t="s">
        <v>1060</v>
      </c>
      <c r="F1661" s="10"/>
      <c r="G1661" s="10"/>
      <c r="H1661" s="10"/>
      <c r="I1661" s="23" t="s">
        <v>46</v>
      </c>
      <c r="J1661" s="223"/>
    </row>
    <row r="1662" spans="1:10" s="144" customFormat="1" ht="12.75" x14ac:dyDescent="0.25">
      <c r="A1662" s="7">
        <v>525023288</v>
      </c>
      <c r="B1662" s="22" t="s">
        <v>3457</v>
      </c>
      <c r="C1662" s="10" t="s">
        <v>3458</v>
      </c>
      <c r="D1662" s="10" t="s">
        <v>3459</v>
      </c>
      <c r="E1662" s="10" t="s">
        <v>3460</v>
      </c>
      <c r="F1662" s="10"/>
      <c r="G1662" s="10"/>
      <c r="H1662" s="10"/>
      <c r="I1662" s="23" t="s">
        <v>46</v>
      </c>
      <c r="J1662" s="223"/>
    </row>
    <row r="1663" spans="1:10" s="144" customFormat="1" ht="12.75" x14ac:dyDescent="0.25">
      <c r="A1663" s="7">
        <v>525121073</v>
      </c>
      <c r="B1663" s="22" t="s">
        <v>3461</v>
      </c>
      <c r="C1663" s="10">
        <v>129</v>
      </c>
      <c r="D1663" s="10">
        <v>8539</v>
      </c>
      <c r="E1663" s="10" t="s">
        <v>1754</v>
      </c>
      <c r="F1663" s="10"/>
      <c r="G1663" s="10"/>
      <c r="H1663" s="10"/>
      <c r="I1663" s="23" t="s">
        <v>47</v>
      </c>
      <c r="J1663" s="223"/>
    </row>
    <row r="1664" spans="1:10" s="144" customFormat="1" ht="15.75" x14ac:dyDescent="0.25">
      <c r="A1664" s="7">
        <v>212719000</v>
      </c>
      <c r="B1664" s="18" t="s">
        <v>3463</v>
      </c>
      <c r="C1664" s="192">
        <v>228.5</v>
      </c>
      <c r="D1664" s="222">
        <v>45229</v>
      </c>
      <c r="E1664" s="192" t="s">
        <v>2376</v>
      </c>
      <c r="F1664" s="10"/>
      <c r="G1664" s="10"/>
      <c r="H1664" s="10"/>
      <c r="I1664" s="23" t="s">
        <v>154</v>
      </c>
      <c r="J1664" s="223"/>
    </row>
    <row r="1665" spans="1:10" s="144" customFormat="1" ht="15.75" x14ac:dyDescent="0.25">
      <c r="A1665" s="7">
        <v>352005828</v>
      </c>
      <c r="B1665" s="18" t="s">
        <v>3462</v>
      </c>
      <c r="C1665" s="192">
        <v>183</v>
      </c>
      <c r="D1665" s="222">
        <v>30131</v>
      </c>
      <c r="E1665" s="192" t="s">
        <v>3419</v>
      </c>
      <c r="F1665" s="10"/>
      <c r="G1665" s="10"/>
      <c r="H1665" s="10"/>
      <c r="I1665" s="23" t="s">
        <v>160</v>
      </c>
      <c r="J1665" s="223"/>
    </row>
    <row r="1666" spans="1:10" s="144" customFormat="1" ht="12.75" x14ac:dyDescent="0.25">
      <c r="A1666" s="7">
        <v>525023320</v>
      </c>
      <c r="B1666" s="22" t="s">
        <v>3464</v>
      </c>
      <c r="C1666" s="10" t="s">
        <v>3465</v>
      </c>
      <c r="D1666" s="10" t="s">
        <v>217</v>
      </c>
      <c r="E1666" s="10" t="s">
        <v>3466</v>
      </c>
      <c r="F1666" s="10"/>
      <c r="G1666" s="10"/>
      <c r="H1666" s="10"/>
      <c r="I1666" s="23" t="s">
        <v>46</v>
      </c>
      <c r="J1666" s="223"/>
    </row>
    <row r="1667" spans="1:10" s="144" customFormat="1" ht="12.75" x14ac:dyDescent="0.25">
      <c r="A1667" s="7">
        <v>440696000</v>
      </c>
      <c r="B1667" s="22" t="s">
        <v>3471</v>
      </c>
      <c r="C1667" s="10">
        <v>102</v>
      </c>
      <c r="D1667" s="10">
        <v>4275</v>
      </c>
      <c r="E1667" s="10" t="s">
        <v>766</v>
      </c>
      <c r="F1667" s="10"/>
      <c r="G1667" s="10"/>
      <c r="H1667" s="10"/>
      <c r="I1667" s="23" t="s">
        <v>1895</v>
      </c>
      <c r="J1667" s="223"/>
    </row>
    <row r="1668" spans="1:10" s="144" customFormat="1" ht="12.75" x14ac:dyDescent="0.25">
      <c r="A1668" s="7">
        <v>525100318</v>
      </c>
      <c r="B1668" s="18" t="s">
        <v>3472</v>
      </c>
      <c r="C1668" s="7">
        <v>189</v>
      </c>
      <c r="D1668" s="83">
        <v>26580</v>
      </c>
      <c r="E1668" s="7" t="s">
        <v>3040</v>
      </c>
      <c r="F1668" s="10"/>
      <c r="G1668" s="10"/>
      <c r="H1668" s="10"/>
      <c r="I1668" s="23" t="s">
        <v>46</v>
      </c>
      <c r="J1668" s="223"/>
    </row>
    <row r="1669" spans="1:10" s="144" customFormat="1" ht="12.75" x14ac:dyDescent="0.25">
      <c r="A1669" s="7">
        <v>636020198</v>
      </c>
      <c r="B1669" s="22" t="s">
        <v>3648</v>
      </c>
      <c r="C1669" s="220">
        <v>259</v>
      </c>
      <c r="D1669" s="220">
        <v>41322</v>
      </c>
      <c r="E1669" s="10" t="s">
        <v>1152</v>
      </c>
      <c r="F1669" s="220"/>
      <c r="G1669" s="220"/>
      <c r="H1669" s="220"/>
      <c r="I1669" s="23" t="s">
        <v>71</v>
      </c>
      <c r="J1669" s="223"/>
    </row>
    <row r="1670" spans="1:10" s="144" customFormat="1" ht="12.75" x14ac:dyDescent="0.25">
      <c r="A1670" s="7">
        <v>574000840</v>
      </c>
      <c r="B1670" s="22" t="s">
        <v>3473</v>
      </c>
      <c r="C1670" s="220">
        <v>189</v>
      </c>
      <c r="D1670" s="220">
        <v>29965</v>
      </c>
      <c r="E1670" s="10" t="s">
        <v>54</v>
      </c>
      <c r="F1670" s="220"/>
      <c r="G1670" s="220"/>
      <c r="H1670" s="220"/>
      <c r="I1670" s="23" t="s">
        <v>273</v>
      </c>
      <c r="J1670" s="223"/>
    </row>
    <row r="1671" spans="1:10" s="144" customFormat="1" ht="12.75" x14ac:dyDescent="0.25">
      <c r="A1671" s="7">
        <v>525003351</v>
      </c>
      <c r="B1671" s="22" t="s">
        <v>3474</v>
      </c>
      <c r="C1671" s="10" t="s">
        <v>3475</v>
      </c>
      <c r="D1671" s="10" t="s">
        <v>3476</v>
      </c>
      <c r="E1671" s="10" t="s">
        <v>2596</v>
      </c>
      <c r="F1671" s="220"/>
      <c r="G1671" s="220"/>
      <c r="H1671" s="220"/>
      <c r="I1671" s="23" t="s">
        <v>1870</v>
      </c>
      <c r="J1671" s="223"/>
    </row>
    <row r="1672" spans="1:10" s="144" customFormat="1" ht="12.75" x14ac:dyDescent="0.25">
      <c r="A1672" s="7">
        <v>249946000</v>
      </c>
      <c r="B1672" s="22" t="s">
        <v>3477</v>
      </c>
      <c r="C1672" s="220">
        <v>229</v>
      </c>
      <c r="D1672" s="220">
        <v>47984</v>
      </c>
      <c r="E1672" s="10" t="s">
        <v>824</v>
      </c>
      <c r="F1672" s="220"/>
      <c r="G1672" s="220"/>
      <c r="H1672" s="220"/>
      <c r="I1672" s="23" t="s">
        <v>273</v>
      </c>
      <c r="J1672" s="223"/>
    </row>
    <row r="1673" spans="1:10" s="144" customFormat="1" ht="12.75" x14ac:dyDescent="0.25">
      <c r="A1673" s="7">
        <v>413224880</v>
      </c>
      <c r="B1673" s="22" t="s">
        <v>3478</v>
      </c>
      <c r="C1673" s="220">
        <v>104</v>
      </c>
      <c r="D1673" s="220">
        <v>4422</v>
      </c>
      <c r="E1673" s="10" t="s">
        <v>1061</v>
      </c>
      <c r="F1673" s="220"/>
      <c r="G1673" s="220"/>
      <c r="H1673" s="220"/>
      <c r="I1673" s="23" t="s">
        <v>1895</v>
      </c>
      <c r="J1673" s="223"/>
    </row>
    <row r="1674" spans="1:10" s="144" customFormat="1" ht="12.75" x14ac:dyDescent="0.25">
      <c r="A1674" s="7">
        <v>525801913</v>
      </c>
      <c r="B1674" s="18" t="s">
        <v>3485</v>
      </c>
      <c r="C1674" s="7" t="s">
        <v>3482</v>
      </c>
      <c r="D1674" s="7" t="s">
        <v>3483</v>
      </c>
      <c r="E1674" s="7" t="s">
        <v>489</v>
      </c>
      <c r="F1674" s="220"/>
      <c r="G1674" s="220"/>
      <c r="H1674" s="220"/>
      <c r="I1674" s="23" t="s">
        <v>46</v>
      </c>
      <c r="J1674" s="223"/>
    </row>
    <row r="1675" spans="1:10" s="144" customFormat="1" ht="12.75" x14ac:dyDescent="0.25">
      <c r="A1675" s="7">
        <v>525020218</v>
      </c>
      <c r="B1675" s="18" t="s">
        <v>3484</v>
      </c>
      <c r="C1675" s="220">
        <v>80</v>
      </c>
      <c r="D1675" s="220">
        <v>1496</v>
      </c>
      <c r="E1675" s="10" t="s">
        <v>3069</v>
      </c>
      <c r="F1675" s="220"/>
      <c r="G1675" s="220"/>
      <c r="H1675" s="220"/>
      <c r="I1675" s="23" t="s">
        <v>1976</v>
      </c>
      <c r="J1675" s="223"/>
    </row>
    <row r="1676" spans="1:10" s="144" customFormat="1" ht="12.75" x14ac:dyDescent="0.25">
      <c r="A1676" s="7">
        <v>525501099</v>
      </c>
      <c r="B1676" s="22" t="s">
        <v>3486</v>
      </c>
      <c r="C1676" s="220">
        <v>167</v>
      </c>
      <c r="D1676" s="220">
        <v>15823</v>
      </c>
      <c r="E1676" s="10" t="s">
        <v>979</v>
      </c>
      <c r="F1676" s="220"/>
      <c r="G1676" s="220"/>
      <c r="H1676" s="220"/>
      <c r="I1676" s="23" t="s">
        <v>1432</v>
      </c>
      <c r="J1676" s="223"/>
    </row>
    <row r="1677" spans="1:10" s="144" customFormat="1" ht="12.75" x14ac:dyDescent="0.25">
      <c r="A1677" s="7">
        <v>413495760</v>
      </c>
      <c r="B1677" s="22" t="s">
        <v>3493</v>
      </c>
      <c r="C1677" s="220">
        <v>153</v>
      </c>
      <c r="D1677" s="220">
        <v>14021</v>
      </c>
      <c r="E1677" s="10" t="s">
        <v>126</v>
      </c>
      <c r="F1677" s="220"/>
      <c r="G1677" s="220"/>
      <c r="H1677" s="220"/>
      <c r="I1677" s="23" t="s">
        <v>262</v>
      </c>
      <c r="J1677" s="223"/>
    </row>
    <row r="1678" spans="1:10" s="144" customFormat="1" ht="12.75" x14ac:dyDescent="0.25">
      <c r="A1678" s="7">
        <v>525500231</v>
      </c>
      <c r="B1678" s="22" t="s">
        <v>3494</v>
      </c>
      <c r="C1678" s="10" t="s">
        <v>3495</v>
      </c>
      <c r="D1678" s="10" t="s">
        <v>3496</v>
      </c>
      <c r="E1678" s="10" t="s">
        <v>1934</v>
      </c>
      <c r="F1678" s="220"/>
      <c r="G1678" s="220"/>
      <c r="H1678" s="220"/>
      <c r="I1678" s="23" t="s">
        <v>153</v>
      </c>
      <c r="J1678" s="223"/>
    </row>
    <row r="1679" spans="1:10" s="144" customFormat="1" ht="12.75" x14ac:dyDescent="0.25">
      <c r="A1679" s="7">
        <v>525901377</v>
      </c>
      <c r="B1679" s="22" t="s">
        <v>3497</v>
      </c>
      <c r="C1679" s="10" t="s">
        <v>3498</v>
      </c>
      <c r="D1679" s="10" t="s">
        <v>3499</v>
      </c>
      <c r="E1679" s="10" t="s">
        <v>855</v>
      </c>
      <c r="F1679" s="220"/>
      <c r="G1679" s="220"/>
      <c r="H1679" s="220"/>
      <c r="I1679" s="23" t="s">
        <v>245</v>
      </c>
      <c r="J1679" s="223"/>
    </row>
    <row r="1680" spans="1:10" s="144" customFormat="1" ht="12.75" x14ac:dyDescent="0.25">
      <c r="A1680" s="7">
        <v>525500707</v>
      </c>
      <c r="B1680" s="22" t="s">
        <v>3500</v>
      </c>
      <c r="C1680" s="220">
        <v>65</v>
      </c>
      <c r="D1680" s="220">
        <v>910</v>
      </c>
      <c r="E1680" s="10" t="s">
        <v>3069</v>
      </c>
      <c r="F1680" s="220"/>
      <c r="G1680" s="220"/>
      <c r="H1680" s="220"/>
      <c r="I1680" s="23" t="s">
        <v>39</v>
      </c>
      <c r="J1680" s="223"/>
    </row>
    <row r="1681" spans="1:10" s="144" customFormat="1" ht="12.75" x14ac:dyDescent="0.25">
      <c r="A1681" s="7">
        <v>525003593</v>
      </c>
      <c r="B1681" s="22" t="s">
        <v>3502</v>
      </c>
      <c r="C1681" s="220">
        <v>80</v>
      </c>
      <c r="D1681" s="220">
        <v>2826</v>
      </c>
      <c r="E1681" s="10" t="s">
        <v>195</v>
      </c>
      <c r="F1681" s="220"/>
      <c r="G1681" s="220"/>
      <c r="H1681" s="220"/>
      <c r="I1681" s="23" t="s">
        <v>3501</v>
      </c>
      <c r="J1681" s="223"/>
    </row>
    <row r="1682" spans="1:10" s="144" customFormat="1" ht="12.75" x14ac:dyDescent="0.25">
      <c r="A1682" s="7">
        <v>525016325</v>
      </c>
      <c r="B1682" s="18" t="s">
        <v>3504</v>
      </c>
      <c r="C1682" s="7" t="s">
        <v>3505</v>
      </c>
      <c r="D1682" s="7" t="s">
        <v>3506</v>
      </c>
      <c r="E1682" s="7" t="s">
        <v>3507</v>
      </c>
      <c r="F1682" s="220"/>
      <c r="G1682" s="220"/>
      <c r="H1682" s="220"/>
      <c r="I1682" s="23" t="s">
        <v>46</v>
      </c>
      <c r="J1682" s="223"/>
    </row>
    <row r="1683" spans="1:10" s="144" customFormat="1" ht="12.75" x14ac:dyDescent="0.25">
      <c r="A1683" s="7">
        <v>525019407</v>
      </c>
      <c r="B1683" s="18" t="s">
        <v>3508</v>
      </c>
      <c r="C1683" s="7">
        <v>100</v>
      </c>
      <c r="D1683" s="83">
        <v>3127</v>
      </c>
      <c r="E1683" s="7">
        <v>6.1</v>
      </c>
      <c r="F1683" s="220"/>
      <c r="G1683" s="220"/>
      <c r="H1683" s="220"/>
      <c r="I1683" s="221"/>
      <c r="J1683" s="223"/>
    </row>
    <row r="1684" spans="1:10" s="144" customFormat="1" ht="12.75" x14ac:dyDescent="0.25">
      <c r="A1684" s="7">
        <v>525023124</v>
      </c>
      <c r="B1684" s="22" t="s">
        <v>3510</v>
      </c>
      <c r="C1684" s="10" t="s">
        <v>3511</v>
      </c>
      <c r="D1684" s="10" t="s">
        <v>226</v>
      </c>
      <c r="E1684" s="10" t="s">
        <v>3131</v>
      </c>
      <c r="F1684" s="220"/>
      <c r="G1684" s="220"/>
      <c r="H1684" s="220"/>
      <c r="I1684" s="23" t="s">
        <v>46</v>
      </c>
      <c r="J1684" s="223"/>
    </row>
    <row r="1685" spans="1:10" s="144" customFormat="1" ht="12.75" x14ac:dyDescent="0.25">
      <c r="A1685" s="7">
        <v>354897000</v>
      </c>
      <c r="B1685" s="22" t="s">
        <v>3512</v>
      </c>
      <c r="C1685" s="10" t="s">
        <v>1645</v>
      </c>
      <c r="D1685" s="220">
        <v>30046</v>
      </c>
      <c r="E1685" s="10" t="s">
        <v>1016</v>
      </c>
      <c r="F1685" s="220"/>
      <c r="G1685" s="220"/>
      <c r="H1685" s="220"/>
      <c r="I1685" s="23" t="s">
        <v>1553</v>
      </c>
      <c r="J1685" s="223"/>
    </row>
    <row r="1686" spans="1:10" s="144" customFormat="1" ht="12.75" x14ac:dyDescent="0.25">
      <c r="A1686" s="7">
        <v>525018086</v>
      </c>
      <c r="B1686" s="22" t="s">
        <v>3520</v>
      </c>
      <c r="C1686" s="220">
        <v>104</v>
      </c>
      <c r="D1686" s="220">
        <v>4704</v>
      </c>
      <c r="E1686" s="10" t="s">
        <v>91</v>
      </c>
      <c r="F1686" s="220"/>
      <c r="G1686" s="220"/>
      <c r="H1686" s="220"/>
      <c r="I1686" s="23" t="s">
        <v>1707</v>
      </c>
      <c r="J1686" s="223"/>
    </row>
    <row r="1687" spans="1:10" s="144" customFormat="1" ht="12.75" x14ac:dyDescent="0.25">
      <c r="A1687" s="7">
        <v>525010390</v>
      </c>
      <c r="B1687" s="22" t="s">
        <v>3521</v>
      </c>
      <c r="C1687" s="10" t="s">
        <v>3522</v>
      </c>
      <c r="D1687" s="10" t="s">
        <v>3523</v>
      </c>
      <c r="E1687" s="10" t="s">
        <v>3524</v>
      </c>
      <c r="F1687" s="220"/>
      <c r="G1687" s="220"/>
      <c r="H1687" s="220"/>
      <c r="I1687" s="23" t="s">
        <v>3038</v>
      </c>
      <c r="J1687" s="223"/>
    </row>
    <row r="1688" spans="1:10" s="144" customFormat="1" ht="12.75" x14ac:dyDescent="0.25">
      <c r="A1688" s="7">
        <v>548753000</v>
      </c>
      <c r="B1688" s="22" t="s">
        <v>3525</v>
      </c>
      <c r="C1688" s="220">
        <v>120</v>
      </c>
      <c r="D1688" s="220">
        <v>9943</v>
      </c>
      <c r="E1688" s="10" t="s">
        <v>106</v>
      </c>
      <c r="F1688" s="220"/>
      <c r="G1688" s="220"/>
      <c r="H1688" s="220"/>
      <c r="I1688" s="23" t="s">
        <v>262</v>
      </c>
      <c r="J1688" s="223"/>
    </row>
    <row r="1689" spans="1:10" s="144" customFormat="1" ht="12.75" x14ac:dyDescent="0.25">
      <c r="A1689" s="7">
        <v>525701284</v>
      </c>
      <c r="B1689" s="22" t="s">
        <v>3533</v>
      </c>
      <c r="C1689" s="220">
        <v>102</v>
      </c>
      <c r="D1689" s="220">
        <v>4073</v>
      </c>
      <c r="E1689" s="10" t="s">
        <v>131</v>
      </c>
      <c r="F1689" s="220"/>
      <c r="G1689" s="220"/>
      <c r="H1689" s="220"/>
      <c r="I1689" s="23" t="s">
        <v>42</v>
      </c>
      <c r="J1689" s="223"/>
    </row>
    <row r="1690" spans="1:10" s="144" customFormat="1" ht="12.75" x14ac:dyDescent="0.25">
      <c r="A1690" s="7">
        <v>268248001</v>
      </c>
      <c r="B1690" s="22" t="s">
        <v>3534</v>
      </c>
      <c r="C1690" s="220">
        <v>117</v>
      </c>
      <c r="D1690" s="220">
        <v>19796</v>
      </c>
      <c r="E1690" s="10" t="s">
        <v>924</v>
      </c>
      <c r="F1690" s="220"/>
      <c r="G1690" s="220"/>
      <c r="H1690" s="220"/>
      <c r="I1690" s="23" t="s">
        <v>1895</v>
      </c>
      <c r="J1690" s="223"/>
    </row>
    <row r="1691" spans="1:10" s="144" customFormat="1" ht="12.75" x14ac:dyDescent="0.25">
      <c r="A1691" s="7">
        <v>636023273</v>
      </c>
      <c r="B1691" s="22" t="s">
        <v>3535</v>
      </c>
      <c r="C1691" s="220">
        <v>266</v>
      </c>
      <c r="D1691" s="220">
        <v>41834</v>
      </c>
      <c r="E1691" s="10" t="s">
        <v>3536</v>
      </c>
      <c r="F1691" s="220"/>
      <c r="G1691" s="220"/>
      <c r="H1691" s="220"/>
      <c r="I1691" s="23" t="s">
        <v>71</v>
      </c>
      <c r="J1691" s="223"/>
    </row>
    <row r="1692" spans="1:10" s="144" customFormat="1" ht="12.75" x14ac:dyDescent="0.25">
      <c r="A1692" s="7">
        <v>525011027</v>
      </c>
      <c r="B1692" s="22" t="s">
        <v>3537</v>
      </c>
      <c r="C1692" s="10" t="s">
        <v>3538</v>
      </c>
      <c r="D1692" s="10" t="s">
        <v>3539</v>
      </c>
      <c r="E1692" s="10" t="s">
        <v>3540</v>
      </c>
      <c r="F1692" s="220"/>
      <c r="G1692" s="220"/>
      <c r="H1692" s="220"/>
      <c r="I1692" s="23" t="s">
        <v>1448</v>
      </c>
      <c r="J1692" s="223"/>
    </row>
    <row r="1693" spans="1:10" s="144" customFormat="1" ht="12.75" x14ac:dyDescent="0.25">
      <c r="A1693" s="7">
        <v>525003489</v>
      </c>
      <c r="B1693" s="22" t="s">
        <v>3541</v>
      </c>
      <c r="C1693" s="220">
        <v>59</v>
      </c>
      <c r="D1693" s="220">
        <v>529</v>
      </c>
      <c r="E1693" s="10" t="s">
        <v>86</v>
      </c>
      <c r="F1693" s="220"/>
      <c r="G1693" s="220"/>
      <c r="H1693" s="220"/>
      <c r="I1693" s="23" t="s">
        <v>3487</v>
      </c>
      <c r="J1693" s="223"/>
    </row>
    <row r="1694" spans="1:10" s="144" customFormat="1" ht="12.75" x14ac:dyDescent="0.25">
      <c r="A1694" s="7">
        <v>538009626</v>
      </c>
      <c r="B1694" s="22" t="s">
        <v>3542</v>
      </c>
      <c r="C1694" s="220">
        <v>182</v>
      </c>
      <c r="D1694" s="220">
        <v>24472</v>
      </c>
      <c r="E1694" s="10" t="s">
        <v>1935</v>
      </c>
      <c r="F1694" s="220"/>
      <c r="G1694" s="220"/>
      <c r="H1694" s="220"/>
      <c r="I1694" s="23" t="s">
        <v>71</v>
      </c>
      <c r="J1694" s="223"/>
    </row>
    <row r="1695" spans="1:10" s="144" customFormat="1" ht="12.75" x14ac:dyDescent="0.25">
      <c r="A1695" s="7">
        <v>525700287</v>
      </c>
      <c r="B1695" s="22" t="s">
        <v>3543</v>
      </c>
      <c r="C1695" s="220">
        <v>53</v>
      </c>
      <c r="D1695" s="220">
        <v>702</v>
      </c>
      <c r="E1695" s="10" t="s">
        <v>91</v>
      </c>
      <c r="F1695" s="220"/>
      <c r="G1695" s="220"/>
      <c r="H1695" s="220"/>
      <c r="I1695" s="23" t="s">
        <v>2398</v>
      </c>
      <c r="J1695" s="223"/>
    </row>
    <row r="1696" spans="1:10" s="144" customFormat="1" ht="12.75" x14ac:dyDescent="0.25">
      <c r="A1696" s="7">
        <v>525801120</v>
      </c>
      <c r="B1696" s="22" t="s">
        <v>3547</v>
      </c>
      <c r="C1696" s="10" t="s">
        <v>3548</v>
      </c>
      <c r="D1696" s="10" t="s">
        <v>3549</v>
      </c>
      <c r="E1696" s="10" t="s">
        <v>3804</v>
      </c>
      <c r="F1696" s="220"/>
      <c r="G1696" s="220"/>
      <c r="H1696" s="220"/>
      <c r="I1696" s="23" t="s">
        <v>92</v>
      </c>
      <c r="J1696" s="223"/>
    </row>
    <row r="1697" spans="1:10" s="144" customFormat="1" ht="12.75" x14ac:dyDescent="0.25">
      <c r="A1697" s="7">
        <v>525024057</v>
      </c>
      <c r="B1697" s="22" t="s">
        <v>3550</v>
      </c>
      <c r="C1697" s="10" t="s">
        <v>877</v>
      </c>
      <c r="D1697" s="10" t="s">
        <v>3551</v>
      </c>
      <c r="E1697" s="10" t="s">
        <v>3552</v>
      </c>
      <c r="F1697" s="10"/>
      <c r="G1697" s="10"/>
      <c r="H1697" s="10"/>
      <c r="I1697" s="23" t="s">
        <v>41</v>
      </c>
      <c r="J1697" s="223"/>
    </row>
    <row r="1698" spans="1:10" s="144" customFormat="1" ht="12.75" x14ac:dyDescent="0.25">
      <c r="A1698" s="7">
        <v>525100332</v>
      </c>
      <c r="B1698" s="22" t="s">
        <v>3553</v>
      </c>
      <c r="C1698" s="10" t="s">
        <v>3554</v>
      </c>
      <c r="D1698" s="10" t="s">
        <v>3555</v>
      </c>
      <c r="E1698" s="10" t="s">
        <v>1066</v>
      </c>
      <c r="F1698" s="218"/>
      <c r="G1698" s="218"/>
      <c r="H1698" s="218"/>
      <c r="I1698" s="23" t="s">
        <v>39</v>
      </c>
      <c r="J1698" s="223"/>
    </row>
    <row r="1699" spans="1:10" s="144" customFormat="1" ht="12.75" x14ac:dyDescent="0.25">
      <c r="A1699" s="7">
        <v>525700298</v>
      </c>
      <c r="B1699" s="22" t="s">
        <v>3556</v>
      </c>
      <c r="C1699" s="218">
        <v>40</v>
      </c>
      <c r="D1699" s="218">
        <v>302</v>
      </c>
      <c r="E1699" s="10" t="s">
        <v>99</v>
      </c>
      <c r="F1699" s="218"/>
      <c r="G1699" s="218"/>
      <c r="H1699" s="218"/>
      <c r="I1699" s="23" t="s">
        <v>1432</v>
      </c>
      <c r="J1699" s="223"/>
    </row>
    <row r="1700" spans="1:10" s="144" customFormat="1" ht="12.75" x14ac:dyDescent="0.25">
      <c r="A1700" s="7">
        <v>533191578</v>
      </c>
      <c r="B1700" s="22" t="s">
        <v>3563</v>
      </c>
      <c r="C1700" s="10" t="s">
        <v>3557</v>
      </c>
      <c r="D1700" s="10" t="s">
        <v>3558</v>
      </c>
      <c r="E1700" s="10" t="s">
        <v>3559</v>
      </c>
      <c r="F1700" s="218"/>
      <c r="G1700" s="218"/>
      <c r="H1700" s="218"/>
      <c r="I1700" s="23" t="s">
        <v>3562</v>
      </c>
      <c r="J1700" s="223"/>
    </row>
    <row r="1701" spans="1:10" s="144" customFormat="1" ht="12.75" x14ac:dyDescent="0.25">
      <c r="A1701" s="7">
        <v>305716000</v>
      </c>
      <c r="B1701" s="22" t="s">
        <v>3564</v>
      </c>
      <c r="C1701" s="220">
        <v>147</v>
      </c>
      <c r="D1701" s="220">
        <v>11664</v>
      </c>
      <c r="E1701" s="10" t="s">
        <v>763</v>
      </c>
      <c r="F1701" s="220"/>
      <c r="G1701" s="220"/>
      <c r="H1701" s="220"/>
      <c r="I1701" s="23" t="s">
        <v>262</v>
      </c>
      <c r="J1701" s="223"/>
    </row>
    <row r="1702" spans="1:10" s="144" customFormat="1" ht="12.75" x14ac:dyDescent="0.25">
      <c r="A1702" s="7">
        <v>525018195</v>
      </c>
      <c r="B1702" s="22" t="s">
        <v>3567</v>
      </c>
      <c r="C1702" s="220">
        <v>87</v>
      </c>
      <c r="D1702" s="220">
        <v>2177</v>
      </c>
      <c r="E1702" s="10" t="s">
        <v>1035</v>
      </c>
      <c r="F1702" s="220"/>
      <c r="G1702" s="220"/>
      <c r="H1702" s="220"/>
      <c r="I1702" s="23" t="s">
        <v>96</v>
      </c>
      <c r="J1702" s="223"/>
    </row>
    <row r="1703" spans="1:10" s="144" customFormat="1" ht="12.75" x14ac:dyDescent="0.25">
      <c r="A1703" s="7">
        <v>525002107</v>
      </c>
      <c r="B1703" s="22" t="s">
        <v>3568</v>
      </c>
      <c r="C1703" s="10" t="s">
        <v>3569</v>
      </c>
      <c r="D1703" s="220">
        <v>291</v>
      </c>
      <c r="E1703" s="10" t="s">
        <v>91</v>
      </c>
      <c r="F1703" s="220"/>
      <c r="G1703" s="220"/>
      <c r="H1703" s="220"/>
      <c r="I1703" s="23" t="s">
        <v>45</v>
      </c>
      <c r="J1703" s="223"/>
    </row>
    <row r="1704" spans="1:10" s="144" customFormat="1" ht="12.75" x14ac:dyDescent="0.25">
      <c r="A1704" s="7">
        <v>525018198</v>
      </c>
      <c r="B1704" s="22" t="s">
        <v>3570</v>
      </c>
      <c r="C1704" s="220">
        <v>88</v>
      </c>
      <c r="D1704" s="220">
        <v>2177</v>
      </c>
      <c r="E1704" s="10" t="s">
        <v>64</v>
      </c>
      <c r="F1704" s="220"/>
      <c r="G1704" s="220"/>
      <c r="H1704" s="220"/>
      <c r="I1704" s="23" t="s">
        <v>96</v>
      </c>
      <c r="J1704" s="223"/>
    </row>
    <row r="1705" spans="1:10" s="144" customFormat="1" ht="12.75" x14ac:dyDescent="0.25">
      <c r="A1705" s="7">
        <v>525003382</v>
      </c>
      <c r="B1705" s="22" t="s">
        <v>3571</v>
      </c>
      <c r="C1705" s="10" t="s">
        <v>3777</v>
      </c>
      <c r="D1705" s="10" t="s">
        <v>3778</v>
      </c>
      <c r="E1705" s="10" t="s">
        <v>1575</v>
      </c>
      <c r="F1705" s="220"/>
      <c r="G1705" s="220"/>
      <c r="H1705" s="220"/>
      <c r="I1705" s="23" t="s">
        <v>39</v>
      </c>
      <c r="J1705" s="223"/>
    </row>
    <row r="1706" spans="1:10" s="144" customFormat="1" ht="12.75" x14ac:dyDescent="0.25">
      <c r="A1706" s="7">
        <v>525901082</v>
      </c>
      <c r="B1706" s="22" t="s">
        <v>3572</v>
      </c>
      <c r="C1706" s="10" t="s">
        <v>3573</v>
      </c>
      <c r="D1706" s="10" t="s">
        <v>3499</v>
      </c>
      <c r="E1706" s="10" t="s">
        <v>3574</v>
      </c>
      <c r="F1706" s="220"/>
      <c r="G1706" s="220"/>
      <c r="H1706" s="220"/>
      <c r="I1706" s="23" t="s">
        <v>245</v>
      </c>
      <c r="J1706" s="223"/>
    </row>
    <row r="1707" spans="1:10" s="144" customFormat="1" ht="12.75" x14ac:dyDescent="0.25">
      <c r="A1707" s="7">
        <v>525701888</v>
      </c>
      <c r="B1707" s="22" t="s">
        <v>3575</v>
      </c>
      <c r="C1707" s="10" t="s">
        <v>3576</v>
      </c>
      <c r="D1707" s="10" t="s">
        <v>3577</v>
      </c>
      <c r="E1707" s="10" t="s">
        <v>3578</v>
      </c>
      <c r="F1707" s="220"/>
      <c r="G1707" s="220"/>
      <c r="H1707" s="220"/>
      <c r="I1707" s="23" t="s">
        <v>92</v>
      </c>
      <c r="J1707" s="223"/>
    </row>
    <row r="1708" spans="1:10" s="144" customFormat="1" ht="12.75" x14ac:dyDescent="0.25">
      <c r="A1708" s="7">
        <v>405000237</v>
      </c>
      <c r="B1708" s="22" t="s">
        <v>3583</v>
      </c>
      <c r="C1708" s="220">
        <v>185</v>
      </c>
      <c r="D1708" s="220">
        <v>24167</v>
      </c>
      <c r="E1708" s="10" t="s">
        <v>834</v>
      </c>
      <c r="F1708" s="220"/>
      <c r="G1708" s="220"/>
      <c r="H1708" s="220"/>
      <c r="I1708" s="221"/>
      <c r="J1708" s="223"/>
    </row>
    <row r="1709" spans="1:10" s="144" customFormat="1" ht="12.75" x14ac:dyDescent="0.25">
      <c r="A1709" s="7">
        <v>525901268</v>
      </c>
      <c r="B1709" s="22" t="s">
        <v>3584</v>
      </c>
      <c r="C1709" s="10" t="s">
        <v>3585</v>
      </c>
      <c r="D1709" s="10" t="s">
        <v>3586</v>
      </c>
      <c r="E1709" s="10" t="s">
        <v>3599</v>
      </c>
      <c r="F1709" s="220"/>
      <c r="G1709" s="220"/>
      <c r="H1709" s="220"/>
      <c r="I1709" s="23" t="s">
        <v>1870</v>
      </c>
      <c r="J1709" s="223"/>
    </row>
    <row r="1710" spans="1:10" s="144" customFormat="1" ht="12.75" x14ac:dyDescent="0.25">
      <c r="A1710" s="7">
        <v>525501933</v>
      </c>
      <c r="B1710" s="22" t="s">
        <v>3901</v>
      </c>
      <c r="C1710" s="220">
        <v>50</v>
      </c>
      <c r="D1710" s="220">
        <v>450</v>
      </c>
      <c r="E1710" s="10" t="s">
        <v>3069</v>
      </c>
      <c r="F1710" s="220"/>
      <c r="G1710" s="220"/>
      <c r="H1710" s="220"/>
      <c r="I1710" s="23" t="s">
        <v>246</v>
      </c>
      <c r="J1710" s="223"/>
    </row>
    <row r="1711" spans="1:10" s="144" customFormat="1" ht="12.75" x14ac:dyDescent="0.25">
      <c r="A1711" s="7">
        <v>413581230</v>
      </c>
      <c r="B1711" s="22" t="s">
        <v>3587</v>
      </c>
      <c r="C1711" s="220">
        <v>96</v>
      </c>
      <c r="D1711" s="220">
        <v>2961</v>
      </c>
      <c r="E1711" s="10" t="s">
        <v>902</v>
      </c>
      <c r="F1711" s="220"/>
      <c r="G1711" s="220"/>
      <c r="H1711" s="220"/>
      <c r="I1711" s="23" t="s">
        <v>1895</v>
      </c>
      <c r="J1711" s="223"/>
    </row>
    <row r="1712" spans="1:10" s="144" customFormat="1" ht="12.75" x14ac:dyDescent="0.25">
      <c r="A1712" s="7">
        <v>525018059</v>
      </c>
      <c r="B1712" s="22" t="s">
        <v>3588</v>
      </c>
      <c r="C1712" s="10" t="s">
        <v>3589</v>
      </c>
      <c r="D1712" s="10" t="s">
        <v>3590</v>
      </c>
      <c r="E1712" s="10" t="s">
        <v>1573</v>
      </c>
      <c r="F1712" s="220"/>
      <c r="G1712" s="220"/>
      <c r="H1712" s="220"/>
      <c r="I1712" s="23" t="s">
        <v>1584</v>
      </c>
      <c r="J1712" s="223"/>
    </row>
    <row r="1713" spans="1:10" s="144" customFormat="1" ht="12.75" x14ac:dyDescent="0.25">
      <c r="A1713" s="7">
        <v>353321000</v>
      </c>
      <c r="B1713" s="22" t="s">
        <v>3595</v>
      </c>
      <c r="C1713" s="10" t="s">
        <v>3596</v>
      </c>
      <c r="D1713" s="220">
        <v>29182</v>
      </c>
      <c r="E1713" s="10" t="s">
        <v>1874</v>
      </c>
      <c r="F1713" s="220"/>
      <c r="G1713" s="220"/>
      <c r="H1713" s="220"/>
      <c r="I1713" s="23" t="s">
        <v>3594</v>
      </c>
      <c r="J1713" s="223"/>
    </row>
    <row r="1714" spans="1:10" s="144" customFormat="1" ht="12.75" x14ac:dyDescent="0.25">
      <c r="A1714" s="7">
        <v>525009248</v>
      </c>
      <c r="B1714" s="22" t="s">
        <v>3598</v>
      </c>
      <c r="C1714" s="10" t="s">
        <v>425</v>
      </c>
      <c r="D1714" s="10" t="s">
        <v>2024</v>
      </c>
      <c r="E1714" s="10" t="s">
        <v>3599</v>
      </c>
      <c r="F1714" s="220"/>
      <c r="G1714" s="220"/>
      <c r="H1714" s="220"/>
      <c r="I1714" s="23" t="s">
        <v>3597</v>
      </c>
      <c r="J1714" s="223"/>
    </row>
    <row r="1715" spans="1:10" s="144" customFormat="1" ht="12.75" x14ac:dyDescent="0.25">
      <c r="A1715" s="7">
        <v>525901684</v>
      </c>
      <c r="B1715" s="22" t="s">
        <v>3841</v>
      </c>
      <c r="C1715" s="10" t="s">
        <v>3600</v>
      </c>
      <c r="D1715" s="10" t="s">
        <v>3601</v>
      </c>
      <c r="E1715" s="10" t="s">
        <v>3602</v>
      </c>
      <c r="F1715" s="220"/>
      <c r="G1715" s="220"/>
      <c r="H1715" s="220"/>
      <c r="I1715" s="23" t="s">
        <v>3038</v>
      </c>
      <c r="J1715" s="223"/>
    </row>
    <row r="1716" spans="1:10" s="144" customFormat="1" ht="12.75" x14ac:dyDescent="0.25">
      <c r="A1716" s="7">
        <v>525003597</v>
      </c>
      <c r="B1716" s="22" t="s">
        <v>3625</v>
      </c>
      <c r="C1716" s="10" t="s">
        <v>3603</v>
      </c>
      <c r="D1716" s="10" t="s">
        <v>3604</v>
      </c>
      <c r="E1716" s="10" t="s">
        <v>3605</v>
      </c>
      <c r="F1716" s="10"/>
      <c r="G1716" s="10"/>
      <c r="H1716" s="10"/>
      <c r="I1716" s="23" t="s">
        <v>39</v>
      </c>
      <c r="J1716" s="223"/>
    </row>
    <row r="1717" spans="1:10" s="144" customFormat="1" ht="12.75" x14ac:dyDescent="0.25">
      <c r="A1717" s="7">
        <v>525801860</v>
      </c>
      <c r="B1717" s="22" t="s">
        <v>3606</v>
      </c>
      <c r="C1717" s="10" t="s">
        <v>3607</v>
      </c>
      <c r="D1717" s="10" t="s">
        <v>3608</v>
      </c>
      <c r="E1717" s="10" t="s">
        <v>3609</v>
      </c>
      <c r="F1717" s="10"/>
      <c r="G1717" s="10"/>
      <c r="H1717" s="10"/>
      <c r="I1717" s="23" t="s">
        <v>3501</v>
      </c>
      <c r="J1717" s="223"/>
    </row>
    <row r="1718" spans="1:10" s="144" customFormat="1" ht="12.75" x14ac:dyDescent="0.25">
      <c r="A1718" s="7">
        <v>538011327</v>
      </c>
      <c r="B1718" s="22" t="s">
        <v>3610</v>
      </c>
      <c r="C1718" s="220">
        <v>183</v>
      </c>
      <c r="D1718" s="220">
        <v>30100</v>
      </c>
      <c r="E1718" s="10" t="s">
        <v>89</v>
      </c>
      <c r="F1718" s="220"/>
      <c r="G1718" s="220"/>
      <c r="H1718" s="220"/>
      <c r="I1718" s="23" t="s">
        <v>160</v>
      </c>
      <c r="J1718" s="223"/>
    </row>
    <row r="1719" spans="1:10" s="144" customFormat="1" ht="12.75" x14ac:dyDescent="0.25">
      <c r="A1719" s="7">
        <v>525501470</v>
      </c>
      <c r="B1719" s="22" t="s">
        <v>3611</v>
      </c>
      <c r="C1719" s="10" t="s">
        <v>3616</v>
      </c>
      <c r="D1719" s="220">
        <v>14557</v>
      </c>
      <c r="E1719" s="10" t="s">
        <v>106</v>
      </c>
      <c r="F1719" s="220"/>
      <c r="G1719" s="220"/>
      <c r="H1719" s="220"/>
      <c r="I1719" s="23" t="s">
        <v>1432</v>
      </c>
      <c r="J1719" s="223"/>
    </row>
    <row r="1720" spans="1:10" s="144" customFormat="1" ht="12.75" x14ac:dyDescent="0.25">
      <c r="A1720" s="7">
        <v>215679000</v>
      </c>
      <c r="B1720" s="22" t="s">
        <v>3612</v>
      </c>
      <c r="C1720" s="220">
        <v>229</v>
      </c>
      <c r="D1720" s="220">
        <v>44635</v>
      </c>
      <c r="E1720" s="10" t="s">
        <v>198</v>
      </c>
      <c r="F1720" s="220"/>
      <c r="G1720" s="220"/>
      <c r="H1720" s="220"/>
      <c r="I1720" s="23" t="s">
        <v>248</v>
      </c>
      <c r="J1720" s="223"/>
    </row>
    <row r="1721" spans="1:10" s="144" customFormat="1" ht="12.75" x14ac:dyDescent="0.25">
      <c r="A1721" s="7">
        <v>352004253</v>
      </c>
      <c r="B1721" s="22" t="s">
        <v>3614</v>
      </c>
      <c r="C1721" s="10" t="s">
        <v>1299</v>
      </c>
      <c r="D1721" s="220">
        <v>38287</v>
      </c>
      <c r="E1721" s="10" t="s">
        <v>1935</v>
      </c>
      <c r="F1721" s="220"/>
      <c r="G1721" s="220"/>
      <c r="H1721" s="220"/>
      <c r="I1721" s="221"/>
      <c r="J1721" s="223"/>
    </row>
    <row r="1722" spans="1:10" s="144" customFormat="1" ht="12.75" x14ac:dyDescent="0.25">
      <c r="A1722" s="7">
        <v>563169700</v>
      </c>
      <c r="B1722" s="22" t="s">
        <v>3615</v>
      </c>
      <c r="C1722" s="220">
        <v>210</v>
      </c>
      <c r="D1722" s="220">
        <v>52938</v>
      </c>
      <c r="E1722" s="10" t="s">
        <v>104</v>
      </c>
      <c r="F1722" s="220"/>
      <c r="G1722" s="220"/>
      <c r="H1722" s="220"/>
      <c r="I1722" s="23" t="s">
        <v>414</v>
      </c>
      <c r="J1722" s="223"/>
    </row>
    <row r="1723" spans="1:10" s="144" customFormat="1" ht="12.75" x14ac:dyDescent="0.25">
      <c r="A1723" s="7">
        <v>354939000</v>
      </c>
      <c r="B1723" s="22" t="s">
        <v>3617</v>
      </c>
      <c r="C1723" s="220">
        <v>107</v>
      </c>
      <c r="D1723" s="220">
        <v>4379</v>
      </c>
      <c r="E1723" s="10" t="s">
        <v>164</v>
      </c>
      <c r="F1723" s="220"/>
      <c r="G1723" s="220"/>
      <c r="H1723" s="220"/>
      <c r="I1723" s="23" t="s">
        <v>273</v>
      </c>
      <c r="J1723" s="223"/>
    </row>
    <row r="1724" spans="1:10" s="144" customFormat="1" ht="12.75" x14ac:dyDescent="0.25">
      <c r="A1724" s="7">
        <v>564538000</v>
      </c>
      <c r="B1724" s="22" t="s">
        <v>3618</v>
      </c>
      <c r="C1724" s="220">
        <v>182</v>
      </c>
      <c r="D1724" s="220">
        <v>24235</v>
      </c>
      <c r="E1724" s="10" t="s">
        <v>1935</v>
      </c>
      <c r="F1724" s="220"/>
      <c r="G1724" s="220"/>
      <c r="H1724" s="220"/>
      <c r="I1724" s="23" t="s">
        <v>45</v>
      </c>
      <c r="J1724" s="223"/>
    </row>
    <row r="1725" spans="1:10" s="144" customFormat="1" ht="12.75" x14ac:dyDescent="0.25">
      <c r="A1725" s="7">
        <v>209669000</v>
      </c>
      <c r="B1725" s="22" t="s">
        <v>3619</v>
      </c>
      <c r="C1725" s="220">
        <v>229</v>
      </c>
      <c r="D1725" s="220">
        <v>44114</v>
      </c>
      <c r="E1725" s="10" t="s">
        <v>834</v>
      </c>
      <c r="F1725" s="220"/>
      <c r="G1725" s="220"/>
      <c r="H1725" s="220"/>
      <c r="I1725" s="23" t="s">
        <v>150</v>
      </c>
      <c r="J1725" s="223"/>
    </row>
    <row r="1726" spans="1:10" s="144" customFormat="1" ht="12.75" x14ac:dyDescent="0.25">
      <c r="A1726" s="7">
        <v>525012101</v>
      </c>
      <c r="B1726" s="22" t="s">
        <v>3620</v>
      </c>
      <c r="C1726" s="220">
        <v>98</v>
      </c>
      <c r="D1726" s="220">
        <v>3257</v>
      </c>
      <c r="E1726" s="10" t="s">
        <v>101</v>
      </c>
      <c r="F1726" s="220"/>
      <c r="G1726" s="220"/>
      <c r="H1726" s="220"/>
      <c r="I1726" s="23" t="s">
        <v>79</v>
      </c>
      <c r="J1726" s="223"/>
    </row>
    <row r="1727" spans="1:10" s="144" customFormat="1" ht="12.75" x14ac:dyDescent="0.25">
      <c r="A1727" s="7">
        <v>636019199</v>
      </c>
      <c r="B1727" s="22" t="s">
        <v>3621</v>
      </c>
      <c r="C1727" s="10" t="s">
        <v>3622</v>
      </c>
      <c r="D1727" s="220">
        <v>11918</v>
      </c>
      <c r="E1727" s="10" t="s">
        <v>204</v>
      </c>
      <c r="F1727" s="220"/>
      <c r="G1727" s="220"/>
      <c r="H1727" s="220"/>
      <c r="I1727" s="23" t="s">
        <v>2096</v>
      </c>
      <c r="J1727" s="223"/>
    </row>
    <row r="1728" spans="1:10" s="144" customFormat="1" ht="12.75" x14ac:dyDescent="0.25">
      <c r="A1728" s="21">
        <v>257943000</v>
      </c>
      <c r="B1728" s="22" t="s">
        <v>3623</v>
      </c>
      <c r="C1728" s="10" t="s">
        <v>3624</v>
      </c>
      <c r="D1728" s="220">
        <v>2800</v>
      </c>
      <c r="E1728" s="10" t="s">
        <v>126</v>
      </c>
      <c r="F1728" s="220"/>
      <c r="G1728" s="220"/>
      <c r="H1728" s="220"/>
      <c r="I1728" s="221"/>
      <c r="J1728" s="223"/>
    </row>
    <row r="1729" spans="1:10" s="144" customFormat="1" ht="12.75" x14ac:dyDescent="0.25">
      <c r="A1729" s="7">
        <v>525024263</v>
      </c>
      <c r="B1729" s="22" t="s">
        <v>3626</v>
      </c>
      <c r="C1729" s="10" t="s">
        <v>991</v>
      </c>
      <c r="D1729" s="10" t="s">
        <v>3627</v>
      </c>
      <c r="E1729" s="10" t="s">
        <v>3628</v>
      </c>
      <c r="F1729" s="220"/>
      <c r="G1729" s="220"/>
      <c r="H1729" s="220"/>
      <c r="I1729" s="221"/>
      <c r="J1729" s="223"/>
    </row>
    <row r="1730" spans="1:10" s="144" customFormat="1" ht="12.75" x14ac:dyDescent="0.25">
      <c r="A1730" s="7">
        <v>525200866</v>
      </c>
      <c r="B1730" s="22" t="s">
        <v>3629</v>
      </c>
      <c r="C1730" s="10" t="s">
        <v>3630</v>
      </c>
      <c r="D1730" s="220">
        <v>10172</v>
      </c>
      <c r="E1730" s="10" t="s">
        <v>147</v>
      </c>
      <c r="F1730" s="220"/>
      <c r="G1730" s="220"/>
      <c r="H1730" s="220"/>
      <c r="I1730" s="23" t="s">
        <v>2622</v>
      </c>
      <c r="J1730" s="223"/>
    </row>
    <row r="1731" spans="1:10" s="144" customFormat="1" ht="12.75" x14ac:dyDescent="0.25">
      <c r="A1731" s="7">
        <v>525010178</v>
      </c>
      <c r="B1731" s="22" t="s">
        <v>3631</v>
      </c>
      <c r="C1731" s="10" t="s">
        <v>3632</v>
      </c>
      <c r="D1731" s="10" t="s">
        <v>3633</v>
      </c>
      <c r="E1731" s="10" t="s">
        <v>1630</v>
      </c>
      <c r="F1731" s="220"/>
      <c r="G1731" s="220"/>
      <c r="H1731" s="220"/>
      <c r="I1731" s="23" t="s">
        <v>3038</v>
      </c>
      <c r="J1731" s="223"/>
    </row>
    <row r="1732" spans="1:10" s="144" customFormat="1" ht="15.75" x14ac:dyDescent="0.25">
      <c r="A1732" s="192">
        <v>525121099</v>
      </c>
      <c r="B1732" s="22" t="s">
        <v>3634</v>
      </c>
      <c r="C1732" s="10" t="s">
        <v>3635</v>
      </c>
      <c r="D1732" s="220">
        <v>3609</v>
      </c>
      <c r="E1732" s="10" t="s">
        <v>902</v>
      </c>
      <c r="F1732" s="220"/>
      <c r="G1732" s="220"/>
      <c r="H1732" s="220"/>
      <c r="I1732" s="23" t="s">
        <v>1870</v>
      </c>
      <c r="J1732" s="223"/>
    </row>
    <row r="1733" spans="1:10" s="144" customFormat="1" ht="15.75" x14ac:dyDescent="0.25">
      <c r="A1733" s="192">
        <v>352003400</v>
      </c>
      <c r="B1733" s="22" t="s">
        <v>3640</v>
      </c>
      <c r="C1733" s="10" t="s">
        <v>3643</v>
      </c>
      <c r="D1733" s="220">
        <v>21538</v>
      </c>
      <c r="E1733" s="10" t="s">
        <v>1662</v>
      </c>
      <c r="F1733" s="220"/>
      <c r="G1733" s="220"/>
      <c r="H1733" s="220"/>
      <c r="I1733" s="23" t="s">
        <v>71</v>
      </c>
      <c r="J1733" s="223"/>
    </row>
    <row r="1734" spans="1:10" s="144" customFormat="1" ht="15.75" x14ac:dyDescent="0.25">
      <c r="A1734" s="192">
        <v>525301819</v>
      </c>
      <c r="B1734" s="22" t="s">
        <v>3641</v>
      </c>
      <c r="C1734" s="220">
        <v>107</v>
      </c>
      <c r="D1734" s="220">
        <v>3877</v>
      </c>
      <c r="E1734" s="10" t="s">
        <v>1754</v>
      </c>
      <c r="F1734" s="220"/>
      <c r="G1734" s="220"/>
      <c r="H1734" s="220"/>
      <c r="I1734" s="23" t="s">
        <v>39</v>
      </c>
      <c r="J1734" s="223"/>
    </row>
    <row r="1735" spans="1:10" s="144" customFormat="1" ht="15.75" x14ac:dyDescent="0.25">
      <c r="A1735" s="192">
        <v>636025280</v>
      </c>
      <c r="B1735" s="18" t="s">
        <v>3645</v>
      </c>
      <c r="C1735" s="7">
        <v>199</v>
      </c>
      <c r="D1735" s="7">
        <v>35742</v>
      </c>
      <c r="E1735" s="7" t="s">
        <v>3647</v>
      </c>
      <c r="F1735" s="220"/>
      <c r="G1735" s="220"/>
      <c r="H1735" s="220"/>
      <c r="I1735" s="23" t="s">
        <v>262</v>
      </c>
      <c r="J1735" s="223"/>
    </row>
    <row r="1736" spans="1:10" s="144" customFormat="1" ht="15.75" x14ac:dyDescent="0.25">
      <c r="A1736" s="192">
        <v>636023988</v>
      </c>
      <c r="B1736" s="18" t="s">
        <v>3649</v>
      </c>
      <c r="C1736" s="7">
        <v>179</v>
      </c>
      <c r="D1736" s="7">
        <v>24785</v>
      </c>
      <c r="E1736" s="7" t="s">
        <v>1016</v>
      </c>
      <c r="F1736" s="220"/>
      <c r="G1736" s="220"/>
      <c r="H1736" s="220"/>
      <c r="I1736" s="23" t="s">
        <v>150</v>
      </c>
      <c r="J1736" s="223"/>
    </row>
    <row r="1737" spans="1:10" s="144" customFormat="1" ht="15.75" x14ac:dyDescent="0.25">
      <c r="A1737" s="192">
        <v>525006142</v>
      </c>
      <c r="B1737" s="18" t="s">
        <v>3646</v>
      </c>
      <c r="C1737" s="7" t="s">
        <v>3658</v>
      </c>
      <c r="D1737" s="7" t="s">
        <v>3659</v>
      </c>
      <c r="E1737" s="7" t="s">
        <v>3660</v>
      </c>
      <c r="F1737" s="220"/>
      <c r="G1737" s="220"/>
      <c r="H1737" s="220"/>
      <c r="I1737" s="23" t="s">
        <v>1432</v>
      </c>
      <c r="J1737" s="223"/>
    </row>
    <row r="1738" spans="1:10" s="144" customFormat="1" ht="15.75" x14ac:dyDescent="0.25">
      <c r="A1738" s="192">
        <v>525801532</v>
      </c>
      <c r="B1738" s="22" t="s">
        <v>3667</v>
      </c>
      <c r="C1738" s="220">
        <v>96</v>
      </c>
      <c r="D1738" s="220">
        <v>3715</v>
      </c>
      <c r="E1738" s="10" t="s">
        <v>91</v>
      </c>
      <c r="F1738" s="220"/>
      <c r="G1738" s="220"/>
      <c r="H1738" s="220"/>
      <c r="I1738" s="23" t="s">
        <v>92</v>
      </c>
      <c r="J1738" s="223"/>
    </row>
    <row r="1739" spans="1:10" s="144" customFormat="1" ht="15.75" x14ac:dyDescent="0.25">
      <c r="A1739" s="192">
        <v>525500520</v>
      </c>
      <c r="B1739" s="22" t="s">
        <v>3668</v>
      </c>
      <c r="C1739" s="10" t="s">
        <v>3669</v>
      </c>
      <c r="D1739" s="10" t="s">
        <v>3670</v>
      </c>
      <c r="E1739" s="10" t="s">
        <v>3552</v>
      </c>
      <c r="F1739" s="220"/>
      <c r="G1739" s="220"/>
      <c r="H1739" s="220"/>
      <c r="I1739" s="23" t="s">
        <v>39</v>
      </c>
      <c r="J1739" s="223"/>
    </row>
    <row r="1740" spans="1:10" s="144" customFormat="1" ht="15.75" x14ac:dyDescent="0.25">
      <c r="A1740" s="192">
        <v>525018193</v>
      </c>
      <c r="B1740" s="22" t="s">
        <v>3676</v>
      </c>
      <c r="C1740" s="10">
        <v>88</v>
      </c>
      <c r="D1740" s="10">
        <v>2177</v>
      </c>
      <c r="E1740" s="10" t="s">
        <v>64</v>
      </c>
      <c r="F1740" s="10"/>
      <c r="G1740" s="10"/>
      <c r="H1740" s="10"/>
      <c r="I1740" s="23" t="s">
        <v>96</v>
      </c>
      <c r="J1740" s="10"/>
    </row>
    <row r="1741" spans="1:10" s="144" customFormat="1" ht="15.75" x14ac:dyDescent="0.25">
      <c r="A1741" s="192">
        <v>636024959</v>
      </c>
      <c r="B1741" s="22" t="s">
        <v>3677</v>
      </c>
      <c r="C1741" s="10">
        <v>110</v>
      </c>
      <c r="D1741" s="10">
        <v>2200</v>
      </c>
      <c r="E1741" s="10" t="s">
        <v>91</v>
      </c>
      <c r="F1741" s="10"/>
      <c r="G1741" s="10"/>
      <c r="H1741" s="10"/>
      <c r="I1741" s="23" t="s">
        <v>1895</v>
      </c>
      <c r="J1741" s="16"/>
    </row>
    <row r="1742" spans="1:10" s="144" customFormat="1" ht="15.75" x14ac:dyDescent="0.25">
      <c r="A1742" s="192">
        <v>525114113</v>
      </c>
      <c r="B1742" s="22" t="s">
        <v>3678</v>
      </c>
      <c r="C1742" s="10">
        <v>108</v>
      </c>
      <c r="D1742" s="10">
        <v>4751</v>
      </c>
      <c r="E1742" s="10" t="s">
        <v>1935</v>
      </c>
      <c r="F1742" s="10"/>
      <c r="G1742" s="10"/>
      <c r="H1742" s="10"/>
      <c r="I1742" s="23" t="s">
        <v>45</v>
      </c>
      <c r="J1742" s="16"/>
    </row>
    <row r="1743" spans="1:10" s="144" customFormat="1" ht="15.75" x14ac:dyDescent="0.25">
      <c r="A1743" s="192">
        <v>525005026</v>
      </c>
      <c r="B1743" s="22" t="s">
        <v>3679</v>
      </c>
      <c r="C1743" s="10" t="s">
        <v>1070</v>
      </c>
      <c r="D1743" s="10" t="s">
        <v>3680</v>
      </c>
      <c r="E1743" s="10" t="s">
        <v>3446</v>
      </c>
      <c r="F1743" s="10"/>
      <c r="G1743" s="10"/>
      <c r="H1743" s="10"/>
      <c r="I1743" s="23" t="s">
        <v>46</v>
      </c>
      <c r="J1743" s="16"/>
    </row>
    <row r="1744" spans="1:10" s="144" customFormat="1" ht="15.75" x14ac:dyDescent="0.25">
      <c r="A1744" s="192">
        <v>253825000</v>
      </c>
      <c r="B1744" s="22" t="s">
        <v>3681</v>
      </c>
      <c r="C1744" s="10">
        <v>101</v>
      </c>
      <c r="D1744" s="10">
        <v>3642</v>
      </c>
      <c r="E1744" s="10" t="s">
        <v>140</v>
      </c>
      <c r="F1744" s="10"/>
      <c r="G1744" s="10"/>
      <c r="H1744" s="10"/>
      <c r="I1744" s="23" t="s">
        <v>262</v>
      </c>
      <c r="J1744" s="16"/>
    </row>
    <row r="1745" spans="1:10" s="144" customFormat="1" ht="15.75" x14ac:dyDescent="0.25">
      <c r="A1745" s="192">
        <v>255806449</v>
      </c>
      <c r="B1745" s="22" t="s">
        <v>3682</v>
      </c>
      <c r="C1745" s="10">
        <v>261</v>
      </c>
      <c r="D1745" s="10">
        <v>40807</v>
      </c>
      <c r="E1745" s="10" t="s">
        <v>952</v>
      </c>
      <c r="F1745" s="10"/>
      <c r="G1745" s="10"/>
      <c r="H1745" s="10"/>
      <c r="I1745" s="23" t="s">
        <v>71</v>
      </c>
      <c r="J1745" s="16"/>
    </row>
    <row r="1746" spans="1:10" s="144" customFormat="1" ht="15.75" x14ac:dyDescent="0.25">
      <c r="A1746" s="192">
        <v>538011450</v>
      </c>
      <c r="B1746" s="22" t="s">
        <v>3683</v>
      </c>
      <c r="C1746" s="10">
        <v>183</v>
      </c>
      <c r="D1746" s="10">
        <v>29887</v>
      </c>
      <c r="E1746" s="10" t="s">
        <v>3684</v>
      </c>
      <c r="F1746" s="10"/>
      <c r="G1746" s="10"/>
      <c r="H1746" s="10"/>
      <c r="I1746" s="23" t="s">
        <v>160</v>
      </c>
      <c r="J1746" s="16"/>
    </row>
    <row r="1747" spans="1:10" s="144" customFormat="1" ht="15.75" x14ac:dyDescent="0.25">
      <c r="A1747" s="192">
        <v>477312700</v>
      </c>
      <c r="B1747" s="22" t="s">
        <v>3685</v>
      </c>
      <c r="C1747" s="10">
        <v>229</v>
      </c>
      <c r="D1747" s="10">
        <v>44114</v>
      </c>
      <c r="E1747" s="10" t="s">
        <v>822</v>
      </c>
      <c r="F1747" s="10"/>
      <c r="G1747" s="10"/>
      <c r="H1747" s="10"/>
      <c r="I1747" s="23"/>
      <c r="J1747" s="16"/>
    </row>
    <row r="1748" spans="1:10" s="144" customFormat="1" ht="15.75" x14ac:dyDescent="0.25">
      <c r="A1748" s="192">
        <v>525400575</v>
      </c>
      <c r="B1748" s="22" t="s">
        <v>3687</v>
      </c>
      <c r="C1748" s="10" t="s">
        <v>3688</v>
      </c>
      <c r="D1748" s="10" t="s">
        <v>3689</v>
      </c>
      <c r="E1748" s="10" t="s">
        <v>2389</v>
      </c>
      <c r="F1748" s="10"/>
      <c r="G1748" s="10"/>
      <c r="H1748" s="10"/>
      <c r="I1748" s="23" t="s">
        <v>39</v>
      </c>
      <c r="J1748" s="16"/>
    </row>
    <row r="1749" spans="1:10" s="144" customFormat="1" ht="15.75" x14ac:dyDescent="0.25">
      <c r="A1749" s="192">
        <v>525003484</v>
      </c>
      <c r="B1749" s="22" t="s">
        <v>3696</v>
      </c>
      <c r="C1749" s="10" t="s">
        <v>3690</v>
      </c>
      <c r="D1749" s="10" t="s">
        <v>3691</v>
      </c>
      <c r="E1749" s="10" t="s">
        <v>3692</v>
      </c>
      <c r="F1749" s="10"/>
      <c r="G1749" s="10"/>
      <c r="H1749" s="10"/>
      <c r="I1749" s="23" t="s">
        <v>245</v>
      </c>
      <c r="J1749" s="16"/>
    </row>
    <row r="1750" spans="1:10" s="144" customFormat="1" ht="15.75" x14ac:dyDescent="0.25">
      <c r="A1750" s="192">
        <v>563905000</v>
      </c>
      <c r="B1750" s="22" t="s">
        <v>3693</v>
      </c>
      <c r="C1750" s="10" t="s">
        <v>1645</v>
      </c>
      <c r="D1750" s="10">
        <v>32309</v>
      </c>
      <c r="E1750" s="10" t="s">
        <v>967</v>
      </c>
      <c r="F1750" s="10"/>
      <c r="G1750" s="10"/>
      <c r="H1750" s="10"/>
      <c r="I1750" s="23" t="s">
        <v>262</v>
      </c>
      <c r="J1750" s="16"/>
    </row>
    <row r="1751" spans="1:10" s="144" customFormat="1" ht="15.75" x14ac:dyDescent="0.25">
      <c r="A1751" s="192">
        <v>525500481</v>
      </c>
      <c r="B1751" s="22" t="s">
        <v>3694</v>
      </c>
      <c r="C1751" s="10" t="s">
        <v>3775</v>
      </c>
      <c r="D1751" s="10" t="s">
        <v>3776</v>
      </c>
      <c r="E1751" s="10" t="s">
        <v>3774</v>
      </c>
      <c r="F1751" s="10"/>
      <c r="G1751" s="10"/>
      <c r="H1751" s="10"/>
      <c r="I1751" s="23" t="s">
        <v>39</v>
      </c>
      <c r="J1751" s="16"/>
    </row>
    <row r="1752" spans="1:10" s="144" customFormat="1" ht="15.75" x14ac:dyDescent="0.25">
      <c r="A1752" s="192">
        <v>525701251</v>
      </c>
      <c r="B1752" s="22" t="s">
        <v>3697</v>
      </c>
      <c r="C1752" s="10" t="s">
        <v>3698</v>
      </c>
      <c r="D1752" s="10" t="s">
        <v>2598</v>
      </c>
      <c r="E1752" s="10" t="s">
        <v>3699</v>
      </c>
      <c r="F1752" s="10"/>
      <c r="G1752" s="10"/>
      <c r="H1752" s="10"/>
      <c r="I1752" s="23" t="s">
        <v>245</v>
      </c>
      <c r="J1752" s="10"/>
    </row>
    <row r="1753" spans="1:10" s="144" customFormat="1" ht="15.75" x14ac:dyDescent="0.25">
      <c r="A1753" s="192">
        <v>563013300</v>
      </c>
      <c r="B1753" s="22" t="s">
        <v>3700</v>
      </c>
      <c r="C1753" s="10" t="s">
        <v>3701</v>
      </c>
      <c r="D1753" s="10">
        <v>21315</v>
      </c>
      <c r="E1753" s="10" t="s">
        <v>3288</v>
      </c>
      <c r="F1753" s="10"/>
      <c r="G1753" s="10"/>
      <c r="H1753" s="10"/>
      <c r="I1753" s="23" t="s">
        <v>160</v>
      </c>
      <c r="J1753" s="16"/>
    </row>
    <row r="1754" spans="1:10" s="144" customFormat="1" ht="15.75" x14ac:dyDescent="0.25">
      <c r="A1754" s="192">
        <v>525901797</v>
      </c>
      <c r="B1754" s="22" t="s">
        <v>3770</v>
      </c>
      <c r="C1754" s="10" t="s">
        <v>3771</v>
      </c>
      <c r="D1754" s="10" t="s">
        <v>3703</v>
      </c>
      <c r="E1754" s="10" t="s">
        <v>3805</v>
      </c>
      <c r="F1754" s="10"/>
      <c r="G1754" s="10"/>
      <c r="H1754" s="10"/>
      <c r="I1754" s="23" t="s">
        <v>150</v>
      </c>
      <c r="J1754" s="16"/>
    </row>
    <row r="1755" spans="1:10" s="144" customFormat="1" ht="15.75" x14ac:dyDescent="0.25">
      <c r="A1755" s="192">
        <v>353978000</v>
      </c>
      <c r="B1755" s="22" t="s">
        <v>3704</v>
      </c>
      <c r="C1755" s="10" t="s">
        <v>1299</v>
      </c>
      <c r="D1755" s="10">
        <v>35607</v>
      </c>
      <c r="E1755" s="10" t="s">
        <v>1935</v>
      </c>
      <c r="F1755" s="10"/>
      <c r="G1755" s="10"/>
      <c r="H1755" s="10"/>
      <c r="I1755" s="23" t="s">
        <v>2141</v>
      </c>
      <c r="J1755" s="16"/>
    </row>
    <row r="1756" spans="1:10" s="144" customFormat="1" ht="15.75" x14ac:dyDescent="0.25">
      <c r="A1756" s="192">
        <v>525271053</v>
      </c>
      <c r="B1756" s="22" t="s">
        <v>3613</v>
      </c>
      <c r="C1756" s="10">
        <v>128</v>
      </c>
      <c r="D1756" s="10">
        <v>8252</v>
      </c>
      <c r="E1756" s="10" t="s">
        <v>1754</v>
      </c>
      <c r="F1756" s="10"/>
      <c r="G1756" s="10"/>
      <c r="H1756" s="10"/>
      <c r="I1756" s="23" t="s">
        <v>3665</v>
      </c>
      <c r="J1756" s="16"/>
    </row>
    <row r="1757" spans="1:10" s="144" customFormat="1" ht="15.75" x14ac:dyDescent="0.25">
      <c r="A1757" s="192">
        <v>370524000</v>
      </c>
      <c r="B1757" s="22" t="s">
        <v>3706</v>
      </c>
      <c r="C1757" s="10" t="s">
        <v>3707</v>
      </c>
      <c r="D1757" s="10">
        <v>26038</v>
      </c>
      <c r="E1757" s="10" t="s">
        <v>54</v>
      </c>
      <c r="F1757" s="10"/>
      <c r="G1757" s="10"/>
      <c r="H1757" s="10"/>
      <c r="I1757" s="23" t="s">
        <v>273</v>
      </c>
      <c r="J1757" s="16"/>
    </row>
    <row r="1758" spans="1:10" s="144" customFormat="1" ht="15.75" x14ac:dyDescent="0.25">
      <c r="A1758" s="192">
        <v>353328000</v>
      </c>
      <c r="B1758" s="22" t="s">
        <v>3713</v>
      </c>
      <c r="C1758" s="10" t="s">
        <v>3413</v>
      </c>
      <c r="D1758" s="220">
        <v>43062</v>
      </c>
      <c r="E1758" s="10" t="s">
        <v>198</v>
      </c>
      <c r="F1758" s="220"/>
      <c r="G1758" s="220"/>
      <c r="H1758" s="220"/>
      <c r="I1758" s="23" t="s">
        <v>71</v>
      </c>
      <c r="J1758" s="220"/>
    </row>
    <row r="1759" spans="1:10" s="144" customFormat="1" ht="15.75" x14ac:dyDescent="0.25">
      <c r="A1759" s="192">
        <v>525300257</v>
      </c>
      <c r="B1759" s="22" t="s">
        <v>3714</v>
      </c>
      <c r="C1759" s="10" t="s">
        <v>3715</v>
      </c>
      <c r="D1759" s="10" t="s">
        <v>3716</v>
      </c>
      <c r="E1759" s="10" t="s">
        <v>3717</v>
      </c>
      <c r="F1759" s="220"/>
      <c r="G1759" s="220"/>
      <c r="H1759" s="220"/>
      <c r="I1759" s="23" t="s">
        <v>46</v>
      </c>
      <c r="J1759" s="223"/>
    </row>
    <row r="1760" spans="1:10" s="144" customFormat="1" ht="15.75" x14ac:dyDescent="0.25">
      <c r="A1760" s="192">
        <v>538005772</v>
      </c>
      <c r="B1760" s="191" t="s">
        <v>3719</v>
      </c>
      <c r="C1760" s="220">
        <v>184</v>
      </c>
      <c r="D1760" s="220">
        <v>23676</v>
      </c>
      <c r="E1760" s="10" t="s">
        <v>189</v>
      </c>
      <c r="F1760" s="220"/>
      <c r="G1760" s="220"/>
      <c r="H1760" s="220"/>
      <c r="I1760" s="23" t="s">
        <v>1895</v>
      </c>
      <c r="J1760" s="223"/>
    </row>
    <row r="1761" spans="1:10" s="144" customFormat="1" ht="15.75" x14ac:dyDescent="0.25">
      <c r="A1761" s="192">
        <v>525300263</v>
      </c>
      <c r="B1761" s="191" t="s">
        <v>3720</v>
      </c>
      <c r="C1761" s="220">
        <v>52</v>
      </c>
      <c r="D1761" s="220">
        <v>450</v>
      </c>
      <c r="E1761" s="10" t="s">
        <v>1105</v>
      </c>
      <c r="F1761" s="220"/>
      <c r="G1761" s="220"/>
      <c r="H1761" s="220"/>
      <c r="I1761" s="23" t="s">
        <v>245</v>
      </c>
      <c r="J1761" s="223"/>
    </row>
    <row r="1762" spans="1:10" s="144" customFormat="1" ht="15.75" x14ac:dyDescent="0.25">
      <c r="A1762" s="192">
        <v>525100020</v>
      </c>
      <c r="B1762" s="191" t="s">
        <v>3721</v>
      </c>
      <c r="C1762" s="10" t="s">
        <v>3722</v>
      </c>
      <c r="D1762" s="10">
        <v>1949</v>
      </c>
      <c r="E1762" s="10" t="s">
        <v>109</v>
      </c>
      <c r="F1762" s="10"/>
      <c r="G1762" s="10"/>
      <c r="H1762" s="10"/>
      <c r="I1762" s="23" t="s">
        <v>2398</v>
      </c>
      <c r="J1762" s="10"/>
    </row>
    <row r="1763" spans="1:10" s="144" customFormat="1" ht="15.75" x14ac:dyDescent="0.25">
      <c r="A1763" s="192">
        <v>352002690</v>
      </c>
      <c r="B1763" s="22" t="s">
        <v>3723</v>
      </c>
      <c r="C1763" s="10" t="s">
        <v>3724</v>
      </c>
      <c r="D1763" s="220">
        <v>9988</v>
      </c>
      <c r="E1763" s="10" t="s">
        <v>131</v>
      </c>
      <c r="F1763" s="220"/>
      <c r="G1763" s="220"/>
      <c r="H1763" s="220"/>
      <c r="I1763" s="23" t="s">
        <v>262</v>
      </c>
      <c r="J1763" s="220"/>
    </row>
    <row r="1764" spans="1:10" s="144" customFormat="1" ht="15.75" x14ac:dyDescent="0.25">
      <c r="A1764" s="192">
        <v>351724000</v>
      </c>
      <c r="B1764" s="22" t="s">
        <v>3725</v>
      </c>
      <c r="C1764" s="220">
        <v>199</v>
      </c>
      <c r="D1764" s="220">
        <v>34795</v>
      </c>
      <c r="E1764" s="10" t="s">
        <v>3536</v>
      </c>
      <c r="F1764" s="220"/>
      <c r="G1764" s="220"/>
      <c r="H1764" s="220"/>
      <c r="I1764" s="23" t="s">
        <v>262</v>
      </c>
      <c r="J1764" s="223"/>
    </row>
    <row r="1765" spans="1:10" s="144" customFormat="1" ht="15.75" x14ac:dyDescent="0.25">
      <c r="A1765" s="192">
        <v>352582000</v>
      </c>
      <c r="B1765" s="22" t="s">
        <v>3726</v>
      </c>
      <c r="C1765" s="220">
        <v>228</v>
      </c>
      <c r="D1765" s="220">
        <v>43083</v>
      </c>
      <c r="E1765" s="10" t="s">
        <v>209</v>
      </c>
      <c r="F1765" s="220"/>
      <c r="G1765" s="220"/>
      <c r="H1765" s="220"/>
      <c r="I1765" s="23" t="s">
        <v>414</v>
      </c>
      <c r="J1765" s="223"/>
    </row>
    <row r="1766" spans="1:10" s="144" customFormat="1" ht="15.75" x14ac:dyDescent="0.25">
      <c r="A1766" s="192">
        <v>352005954</v>
      </c>
      <c r="B1766" s="22" t="s">
        <v>3727</v>
      </c>
      <c r="C1766" s="10" t="s">
        <v>1645</v>
      </c>
      <c r="D1766" s="220">
        <v>33064</v>
      </c>
      <c r="E1766" s="10" t="s">
        <v>131</v>
      </c>
      <c r="F1766" s="220"/>
      <c r="G1766" s="220"/>
      <c r="H1766" s="220"/>
      <c r="I1766" s="23" t="s">
        <v>154</v>
      </c>
      <c r="J1766" s="223"/>
    </row>
    <row r="1767" spans="1:10" s="144" customFormat="1" ht="15.75" x14ac:dyDescent="0.25">
      <c r="A1767" s="192">
        <v>525200408</v>
      </c>
      <c r="B1767" s="22" t="s">
        <v>3731</v>
      </c>
      <c r="C1767" s="10" t="s">
        <v>3732</v>
      </c>
      <c r="D1767" s="10" t="s">
        <v>3733</v>
      </c>
      <c r="E1767" s="10" t="s">
        <v>3734</v>
      </c>
      <c r="F1767" s="220"/>
      <c r="G1767" s="220"/>
      <c r="H1767" s="220"/>
      <c r="I1767" s="23" t="s">
        <v>1870</v>
      </c>
      <c r="J1767" s="223"/>
    </row>
    <row r="1768" spans="1:10" s="144" customFormat="1" ht="15.75" x14ac:dyDescent="0.25">
      <c r="A1768" s="192">
        <v>533130178</v>
      </c>
      <c r="B1768" s="22" t="s">
        <v>3735</v>
      </c>
      <c r="C1768" s="10" t="s">
        <v>3736</v>
      </c>
      <c r="D1768" s="10" t="s">
        <v>3737</v>
      </c>
      <c r="E1768" s="10" t="s">
        <v>3738</v>
      </c>
      <c r="F1768" s="10"/>
      <c r="G1768" s="10"/>
      <c r="H1768" s="10"/>
      <c r="I1768" s="23" t="s">
        <v>3739</v>
      </c>
      <c r="J1768" s="16"/>
    </row>
    <row r="1769" spans="1:10" s="144" customFormat="1" ht="15.75" x14ac:dyDescent="0.25">
      <c r="A1769" s="192">
        <v>636021460</v>
      </c>
      <c r="B1769" s="22" t="s">
        <v>3740</v>
      </c>
      <c r="C1769" s="10">
        <v>145.53</v>
      </c>
      <c r="D1769" s="10">
        <v>11860</v>
      </c>
      <c r="E1769" s="10">
        <v>6.45</v>
      </c>
      <c r="F1769" s="10"/>
      <c r="G1769" s="10"/>
      <c r="H1769" s="10"/>
      <c r="I1769" s="23" t="s">
        <v>160</v>
      </c>
      <c r="J1769" s="16"/>
    </row>
    <row r="1770" spans="1:10" s="144" customFormat="1" ht="15.75" x14ac:dyDescent="0.25">
      <c r="A1770" s="192">
        <v>525018317</v>
      </c>
      <c r="B1770" s="22" t="s">
        <v>3741</v>
      </c>
      <c r="C1770" s="10" t="s">
        <v>3743</v>
      </c>
      <c r="D1770" s="10">
        <v>206</v>
      </c>
      <c r="E1770" s="10" t="s">
        <v>1105</v>
      </c>
      <c r="F1770" s="10"/>
      <c r="G1770" s="10"/>
      <c r="H1770" s="10"/>
      <c r="I1770" s="23" t="s">
        <v>245</v>
      </c>
      <c r="J1770" s="10"/>
    </row>
    <row r="1771" spans="1:10" s="144" customFormat="1" ht="15.75" x14ac:dyDescent="0.25">
      <c r="A1771" s="192">
        <v>636017645</v>
      </c>
      <c r="B1771" s="22" t="s">
        <v>3742</v>
      </c>
      <c r="C1771" s="10" t="s">
        <v>1299</v>
      </c>
      <c r="D1771" s="10">
        <v>36347</v>
      </c>
      <c r="E1771" s="10" t="s">
        <v>3040</v>
      </c>
      <c r="F1771" s="10"/>
      <c r="G1771" s="10"/>
      <c r="H1771" s="10"/>
      <c r="I1771" s="23" t="s">
        <v>414</v>
      </c>
      <c r="J1771" s="10"/>
    </row>
    <row r="1772" spans="1:10" s="144" customFormat="1" ht="15.75" x14ac:dyDescent="0.25">
      <c r="A1772" s="192">
        <v>533170317</v>
      </c>
      <c r="B1772" s="22" t="s">
        <v>3744</v>
      </c>
      <c r="C1772" s="10" t="s">
        <v>2547</v>
      </c>
      <c r="D1772" s="10" t="s">
        <v>3745</v>
      </c>
      <c r="E1772" s="10" t="s">
        <v>3746</v>
      </c>
      <c r="F1772" s="142"/>
      <c r="G1772" s="142"/>
      <c r="H1772" s="142"/>
      <c r="I1772" s="23" t="s">
        <v>96</v>
      </c>
      <c r="J1772" s="223"/>
    </row>
    <row r="1773" spans="1:10" s="144" customFormat="1" ht="15.75" x14ac:dyDescent="0.25">
      <c r="A1773" s="192">
        <v>525901800</v>
      </c>
      <c r="B1773" s="22" t="s">
        <v>3754</v>
      </c>
      <c r="C1773" s="10" t="s">
        <v>3528</v>
      </c>
      <c r="D1773" s="10" t="s">
        <v>2488</v>
      </c>
      <c r="E1773" s="10" t="s">
        <v>3755</v>
      </c>
      <c r="F1773" s="220"/>
      <c r="G1773" s="220"/>
      <c r="H1773" s="192"/>
      <c r="I1773" s="23" t="s">
        <v>249</v>
      </c>
      <c r="J1773" s="220"/>
    </row>
    <row r="1774" spans="1:10" s="144" customFormat="1" ht="15.75" x14ac:dyDescent="0.25">
      <c r="A1774" s="192">
        <v>636023780</v>
      </c>
      <c r="B1774" s="22" t="s">
        <v>3756</v>
      </c>
      <c r="C1774" s="10" t="s">
        <v>1922</v>
      </c>
      <c r="D1774" s="220">
        <v>30453</v>
      </c>
      <c r="E1774" s="10" t="s">
        <v>3307</v>
      </c>
      <c r="F1774" s="220"/>
      <c r="G1774" s="220"/>
      <c r="H1774" s="220"/>
      <c r="I1774" s="23" t="s">
        <v>817</v>
      </c>
      <c r="J1774" s="220"/>
    </row>
    <row r="1775" spans="1:10" s="142" customFormat="1" ht="15.75" x14ac:dyDescent="0.25">
      <c r="A1775" s="192">
        <v>525601356</v>
      </c>
      <c r="B1775" s="22" t="s">
        <v>3757</v>
      </c>
      <c r="C1775" s="10" t="s">
        <v>241</v>
      </c>
      <c r="D1775" s="10" t="s">
        <v>3758</v>
      </c>
      <c r="E1775" s="10" t="s">
        <v>3759</v>
      </c>
      <c r="F1775" s="220"/>
      <c r="G1775" s="220"/>
      <c r="H1775" s="220"/>
      <c r="I1775" s="23" t="s">
        <v>278</v>
      </c>
      <c r="J1775" s="220"/>
    </row>
    <row r="1776" spans="1:10" s="226" customFormat="1" ht="15.75" x14ac:dyDescent="0.25">
      <c r="A1776" s="192">
        <v>636018519</v>
      </c>
      <c r="B1776" s="22" t="s">
        <v>3760</v>
      </c>
      <c r="C1776" s="10" t="s">
        <v>3761</v>
      </c>
      <c r="D1776" s="220">
        <v>9997</v>
      </c>
      <c r="E1776" s="10" t="s">
        <v>1221</v>
      </c>
      <c r="F1776" s="220"/>
      <c r="G1776" s="220"/>
      <c r="H1776" s="220"/>
      <c r="I1776" s="23" t="s">
        <v>817</v>
      </c>
      <c r="J1776" s="220"/>
    </row>
    <row r="1777" spans="1:10" s="226" customFormat="1" ht="15.75" x14ac:dyDescent="0.25">
      <c r="A1777" s="192">
        <v>525801857</v>
      </c>
      <c r="B1777" s="22" t="s">
        <v>3762</v>
      </c>
      <c r="C1777" s="220">
        <v>87</v>
      </c>
      <c r="D1777" s="220">
        <v>2625</v>
      </c>
      <c r="E1777" s="10" t="s">
        <v>133</v>
      </c>
      <c r="F1777" s="220"/>
      <c r="G1777" s="220"/>
      <c r="H1777" s="220"/>
      <c r="I1777" s="23" t="s">
        <v>1432</v>
      </c>
      <c r="J1777" s="220"/>
    </row>
    <row r="1778" spans="1:10" s="226" customFormat="1" ht="15.75" x14ac:dyDescent="0.25">
      <c r="A1778" s="192">
        <v>372720000</v>
      </c>
      <c r="B1778" s="22" t="s">
        <v>3764</v>
      </c>
      <c r="C1778" s="220">
        <v>140</v>
      </c>
      <c r="D1778" s="220">
        <v>8850</v>
      </c>
      <c r="E1778" s="10" t="s">
        <v>764</v>
      </c>
      <c r="F1778" s="220"/>
      <c r="G1778" s="220"/>
      <c r="H1778" s="220"/>
      <c r="I1778" s="221"/>
      <c r="J1778" s="220"/>
    </row>
    <row r="1779" spans="1:10" s="226" customFormat="1" ht="15.75" x14ac:dyDescent="0.25">
      <c r="A1779" s="192">
        <v>525300046</v>
      </c>
      <c r="B1779" s="22" t="s">
        <v>3766</v>
      </c>
      <c r="C1779" s="10" t="s">
        <v>3767</v>
      </c>
      <c r="D1779" s="10" t="s">
        <v>3768</v>
      </c>
      <c r="E1779" s="10" t="s">
        <v>3769</v>
      </c>
      <c r="F1779" s="220"/>
      <c r="G1779" s="220"/>
      <c r="H1779" s="220"/>
      <c r="I1779" s="221"/>
      <c r="J1779" s="220"/>
    </row>
    <row r="1780" spans="1:10" s="226" customFormat="1" ht="12.75" x14ac:dyDescent="0.25">
      <c r="A1780" s="7">
        <v>525003323</v>
      </c>
      <c r="B1780" s="22" t="s">
        <v>3782</v>
      </c>
      <c r="C1780" s="10" t="s">
        <v>3783</v>
      </c>
      <c r="D1780" s="10" t="s">
        <v>3784</v>
      </c>
      <c r="E1780" s="10" t="s">
        <v>3785</v>
      </c>
      <c r="F1780" s="220"/>
      <c r="G1780" s="220"/>
      <c r="H1780" s="220"/>
      <c r="I1780" s="23" t="s">
        <v>3038</v>
      </c>
      <c r="J1780" s="220"/>
    </row>
    <row r="1781" spans="1:10" s="226" customFormat="1" ht="12.75" x14ac:dyDescent="0.25">
      <c r="A1781" s="7">
        <v>525117013</v>
      </c>
      <c r="B1781" s="22" t="s">
        <v>3786</v>
      </c>
      <c r="C1781" s="10" t="s">
        <v>3787</v>
      </c>
      <c r="D1781" s="10" t="s">
        <v>3788</v>
      </c>
      <c r="E1781" s="10" t="s">
        <v>3789</v>
      </c>
      <c r="F1781" s="220"/>
      <c r="G1781" s="220"/>
      <c r="H1781" s="220"/>
      <c r="I1781" s="23" t="s">
        <v>249</v>
      </c>
      <c r="J1781" s="220"/>
    </row>
    <row r="1782" spans="1:10" s="226" customFormat="1" ht="12.75" x14ac:dyDescent="0.25">
      <c r="A1782" s="7">
        <v>525018007</v>
      </c>
      <c r="B1782" s="22" t="s">
        <v>3790</v>
      </c>
      <c r="C1782" s="220">
        <v>115</v>
      </c>
      <c r="D1782" s="220">
        <v>7494</v>
      </c>
      <c r="E1782" s="10" t="s">
        <v>91</v>
      </c>
      <c r="F1782" s="220"/>
      <c r="G1782" s="220"/>
      <c r="H1782" s="220"/>
      <c r="I1782" s="23" t="s">
        <v>1584</v>
      </c>
      <c r="J1782" s="220"/>
    </row>
    <row r="1783" spans="1:10" s="226" customFormat="1" ht="12.75" x14ac:dyDescent="0.25">
      <c r="A1783" s="7">
        <v>413308180</v>
      </c>
      <c r="B1783" s="22" t="s">
        <v>3791</v>
      </c>
      <c r="C1783" s="10" t="s">
        <v>3792</v>
      </c>
      <c r="D1783" s="220">
        <v>5868</v>
      </c>
      <c r="E1783" s="10" t="s">
        <v>112</v>
      </c>
      <c r="F1783" s="220"/>
      <c r="G1783" s="220"/>
      <c r="H1783" s="220"/>
      <c r="I1783" s="221"/>
      <c r="J1783" s="220"/>
    </row>
    <row r="1784" spans="1:10" s="226" customFormat="1" ht="12.75" x14ac:dyDescent="0.25">
      <c r="A1784" s="7">
        <v>525300381</v>
      </c>
      <c r="B1784" s="22" t="s">
        <v>3793</v>
      </c>
      <c r="C1784" s="220">
        <v>43</v>
      </c>
      <c r="D1784" s="220">
        <v>283</v>
      </c>
      <c r="E1784" s="10" t="s">
        <v>3069</v>
      </c>
      <c r="F1784" s="220"/>
      <c r="G1784" s="220"/>
      <c r="H1784" s="220"/>
      <c r="I1784" s="221"/>
      <c r="J1784" s="220"/>
    </row>
    <row r="1785" spans="1:10" s="226" customFormat="1" ht="12.75" x14ac:dyDescent="0.25">
      <c r="A1785" s="7">
        <v>525300286</v>
      </c>
      <c r="B1785" s="22" t="s">
        <v>3803</v>
      </c>
      <c r="C1785" s="10" t="s">
        <v>2213</v>
      </c>
      <c r="D1785" s="10" t="s">
        <v>3796</v>
      </c>
      <c r="E1785" s="10" t="s">
        <v>1915</v>
      </c>
      <c r="F1785" s="220"/>
      <c r="G1785" s="220"/>
      <c r="H1785" s="220"/>
      <c r="I1785" s="23" t="s">
        <v>1584</v>
      </c>
      <c r="J1785" s="220"/>
    </row>
    <row r="1786" spans="1:10" s="226" customFormat="1" ht="12.75" x14ac:dyDescent="0.25">
      <c r="A1786" s="7">
        <v>636025452</v>
      </c>
      <c r="B1786" s="22" t="s">
        <v>3797</v>
      </c>
      <c r="C1786" s="10" t="s">
        <v>3798</v>
      </c>
      <c r="D1786" s="220">
        <v>29979</v>
      </c>
      <c r="E1786" s="10" t="s">
        <v>967</v>
      </c>
      <c r="F1786" s="220"/>
      <c r="G1786" s="220"/>
      <c r="H1786" s="220"/>
      <c r="I1786" s="23" t="s">
        <v>160</v>
      </c>
      <c r="J1786" s="220"/>
    </row>
    <row r="1787" spans="1:10" s="226" customFormat="1" ht="12.75" x14ac:dyDescent="0.25">
      <c r="A1787" s="7">
        <v>525006072</v>
      </c>
      <c r="B1787" s="22" t="s">
        <v>3799</v>
      </c>
      <c r="C1787" s="10" t="s">
        <v>3800</v>
      </c>
      <c r="D1787" s="10" t="s">
        <v>3801</v>
      </c>
      <c r="E1787" s="10" t="s">
        <v>3802</v>
      </c>
      <c r="F1787" s="220"/>
      <c r="G1787" s="220"/>
      <c r="H1787" s="220"/>
      <c r="I1787" s="23" t="s">
        <v>3038</v>
      </c>
      <c r="J1787" s="220"/>
    </row>
    <row r="1788" spans="1:10" s="226" customFormat="1" ht="12.75" x14ac:dyDescent="0.25">
      <c r="A1788" s="7">
        <v>525601448</v>
      </c>
      <c r="B1788" s="22" t="s">
        <v>3806</v>
      </c>
      <c r="C1788" s="220">
        <v>57</v>
      </c>
      <c r="D1788" s="220">
        <v>294</v>
      </c>
      <c r="E1788" s="10" t="s">
        <v>744</v>
      </c>
      <c r="F1788" s="220"/>
      <c r="G1788" s="220"/>
      <c r="H1788" s="220"/>
      <c r="I1788" s="23" t="s">
        <v>3120</v>
      </c>
      <c r="J1788" s="220"/>
    </row>
    <row r="1789" spans="1:10" s="226" customFormat="1" ht="12.75" x14ac:dyDescent="0.25">
      <c r="A1789" s="7">
        <v>212089000</v>
      </c>
      <c r="B1789" s="22" t="s">
        <v>3807</v>
      </c>
      <c r="C1789" s="220">
        <v>289</v>
      </c>
      <c r="D1789" s="220">
        <v>89985</v>
      </c>
      <c r="E1789" s="10" t="s">
        <v>1063</v>
      </c>
      <c r="F1789" s="220"/>
      <c r="G1789" s="220"/>
      <c r="H1789" s="220"/>
      <c r="I1789" s="23" t="s">
        <v>154</v>
      </c>
      <c r="J1789" s="220"/>
    </row>
    <row r="1790" spans="1:10" s="226" customFormat="1" ht="12.75" x14ac:dyDescent="0.25">
      <c r="A1790" s="7">
        <v>477999900</v>
      </c>
      <c r="B1790" s="22" t="s">
        <v>3808</v>
      </c>
      <c r="C1790" s="10" t="s">
        <v>3809</v>
      </c>
      <c r="D1790" s="220">
        <v>88853</v>
      </c>
      <c r="E1790" s="10" t="s">
        <v>3810</v>
      </c>
      <c r="F1790" s="220"/>
      <c r="G1790" s="220"/>
      <c r="H1790" s="220"/>
      <c r="I1790" s="221"/>
      <c r="J1790" s="220"/>
    </row>
    <row r="1791" spans="1:10" s="226" customFormat="1" ht="12.75" x14ac:dyDescent="0.25">
      <c r="A1791" s="7">
        <v>525015671</v>
      </c>
      <c r="B1791" s="22" t="s">
        <v>3811</v>
      </c>
      <c r="C1791" s="10" t="s">
        <v>3812</v>
      </c>
      <c r="D1791" s="220">
        <v>2007</v>
      </c>
      <c r="E1791" s="10" t="s">
        <v>64</v>
      </c>
      <c r="F1791" s="220"/>
      <c r="G1791" s="220"/>
      <c r="H1791" s="220"/>
      <c r="I1791" s="23" t="s">
        <v>65</v>
      </c>
      <c r="J1791" s="220"/>
    </row>
    <row r="1792" spans="1:10" s="226" customFormat="1" ht="12.75" x14ac:dyDescent="0.25">
      <c r="A1792" s="7">
        <v>525007011</v>
      </c>
      <c r="B1792" s="22" t="s">
        <v>3813</v>
      </c>
      <c r="C1792" s="220">
        <v>89</v>
      </c>
      <c r="D1792" s="220">
        <v>2758</v>
      </c>
      <c r="E1792" s="10" t="s">
        <v>1061</v>
      </c>
      <c r="F1792" s="220"/>
      <c r="G1792" s="220"/>
      <c r="H1792" s="220"/>
      <c r="I1792" s="23" t="s">
        <v>1707</v>
      </c>
      <c r="J1792" s="220"/>
    </row>
    <row r="1793" spans="1:10" s="226" customFormat="1" ht="12.75" x14ac:dyDescent="0.25">
      <c r="A1793" s="7">
        <v>525800853</v>
      </c>
      <c r="B1793" s="22" t="s">
        <v>3815</v>
      </c>
      <c r="C1793" s="10" t="s">
        <v>3816</v>
      </c>
      <c r="D1793" s="10" t="s">
        <v>3817</v>
      </c>
      <c r="E1793" s="10" t="s">
        <v>3559</v>
      </c>
      <c r="F1793" s="220"/>
      <c r="G1793" s="220"/>
      <c r="H1793" s="220"/>
      <c r="I1793" s="23" t="s">
        <v>1432</v>
      </c>
      <c r="J1793" s="220"/>
    </row>
    <row r="1794" spans="1:10" s="226" customFormat="1" ht="12.75" x14ac:dyDescent="0.25">
      <c r="A1794" s="7">
        <v>525101170</v>
      </c>
      <c r="B1794" s="22" t="s">
        <v>3818</v>
      </c>
      <c r="C1794" s="220">
        <v>50</v>
      </c>
      <c r="D1794" s="220"/>
      <c r="E1794" s="10" t="s">
        <v>1660</v>
      </c>
      <c r="F1794" s="220"/>
      <c r="G1794" s="220"/>
      <c r="H1794" s="220"/>
      <c r="I1794" s="23" t="s">
        <v>3814</v>
      </c>
      <c r="J1794" s="220"/>
    </row>
    <row r="1795" spans="1:10" s="226" customFormat="1" ht="12.75" x14ac:dyDescent="0.25">
      <c r="A1795" s="7">
        <v>525003428</v>
      </c>
      <c r="B1795" s="22" t="s">
        <v>3819</v>
      </c>
      <c r="C1795" s="10" t="s">
        <v>3820</v>
      </c>
      <c r="D1795" s="10" t="s">
        <v>3821</v>
      </c>
      <c r="E1795" s="10" t="s">
        <v>3881</v>
      </c>
      <c r="F1795" s="220"/>
      <c r="G1795" s="220"/>
      <c r="H1795" s="220"/>
      <c r="I1795" s="23" t="s">
        <v>39</v>
      </c>
      <c r="J1795" s="220"/>
    </row>
    <row r="1796" spans="1:10" s="226" customFormat="1" ht="12.75" x14ac:dyDescent="0.25">
      <c r="A1796" s="7">
        <v>352002973</v>
      </c>
      <c r="B1796" s="22" t="s">
        <v>3823</v>
      </c>
      <c r="C1796" s="220">
        <v>180</v>
      </c>
      <c r="D1796" s="220">
        <v>20763</v>
      </c>
      <c r="E1796" s="10" t="s">
        <v>1857</v>
      </c>
      <c r="F1796" s="220"/>
      <c r="G1796" s="220"/>
      <c r="H1796" s="220"/>
      <c r="I1796" s="23" t="s">
        <v>160</v>
      </c>
      <c r="J1796" s="220"/>
    </row>
    <row r="1797" spans="1:10" s="226" customFormat="1" ht="12.75" x14ac:dyDescent="0.25">
      <c r="A1797" s="7">
        <v>525006132</v>
      </c>
      <c r="B1797" s="22" t="s">
        <v>3824</v>
      </c>
      <c r="C1797" s="10" t="s">
        <v>3825</v>
      </c>
      <c r="D1797" s="220">
        <v>1191</v>
      </c>
      <c r="E1797" s="10" t="s">
        <v>3069</v>
      </c>
      <c r="F1797" s="220"/>
      <c r="G1797" s="220"/>
      <c r="H1797" s="220"/>
      <c r="I1797" s="23" t="s">
        <v>260</v>
      </c>
      <c r="J1797" s="220"/>
    </row>
    <row r="1798" spans="1:10" s="226" customFormat="1" ht="12.75" x14ac:dyDescent="0.25">
      <c r="A1798" s="7">
        <v>525801050</v>
      </c>
      <c r="B1798" s="22" t="s">
        <v>3828</v>
      </c>
      <c r="C1798" s="220">
        <v>117</v>
      </c>
      <c r="D1798" s="220">
        <v>5529</v>
      </c>
      <c r="E1798" s="10" t="s">
        <v>794</v>
      </c>
      <c r="F1798" s="220"/>
      <c r="G1798" s="220"/>
      <c r="H1798" s="220"/>
      <c r="I1798" s="23" t="s">
        <v>96</v>
      </c>
      <c r="J1798" s="220"/>
    </row>
    <row r="1799" spans="1:10" s="226" customFormat="1" ht="12.75" x14ac:dyDescent="0.25">
      <c r="A1799" s="7">
        <v>525022045</v>
      </c>
      <c r="B1799" s="22" t="s">
        <v>3829</v>
      </c>
      <c r="C1799" s="10" t="s">
        <v>3831</v>
      </c>
      <c r="D1799" s="10" t="s">
        <v>3832</v>
      </c>
      <c r="E1799" s="10" t="s">
        <v>3833</v>
      </c>
      <c r="F1799" s="220"/>
      <c r="G1799" s="220"/>
      <c r="H1799" s="220"/>
      <c r="I1799" s="23" t="s">
        <v>3038</v>
      </c>
      <c r="J1799" s="220"/>
    </row>
    <row r="1800" spans="1:10" s="226" customFormat="1" ht="12.75" x14ac:dyDescent="0.25">
      <c r="A1800" s="7">
        <v>525901922</v>
      </c>
      <c r="B1800" s="22" t="s">
        <v>3830</v>
      </c>
      <c r="C1800" s="10" t="s">
        <v>3834</v>
      </c>
      <c r="D1800" s="10" t="s">
        <v>3835</v>
      </c>
      <c r="E1800" s="10" t="s">
        <v>3836</v>
      </c>
      <c r="F1800" s="220"/>
      <c r="G1800" s="220"/>
      <c r="H1800" s="220"/>
      <c r="I1800" s="23" t="s">
        <v>249</v>
      </c>
      <c r="J1800" s="220"/>
    </row>
    <row r="1801" spans="1:10" s="226" customFormat="1" ht="12.75" x14ac:dyDescent="0.25">
      <c r="A1801" s="7">
        <v>525003235</v>
      </c>
      <c r="B1801" s="22" t="s">
        <v>3837</v>
      </c>
      <c r="C1801" s="10" t="s">
        <v>3838</v>
      </c>
      <c r="D1801" s="10" t="s">
        <v>3839</v>
      </c>
      <c r="E1801" s="10" t="s">
        <v>3840</v>
      </c>
      <c r="F1801" s="220"/>
      <c r="G1801" s="220"/>
      <c r="H1801" s="220"/>
      <c r="I1801" s="23" t="s">
        <v>1534</v>
      </c>
      <c r="J1801" s="220"/>
    </row>
    <row r="1802" spans="1:10" s="226" customFormat="1" ht="12.75" x14ac:dyDescent="0.25">
      <c r="A1802" s="7">
        <v>525201272</v>
      </c>
      <c r="B1802" s="22" t="s">
        <v>3845</v>
      </c>
      <c r="C1802" s="10" t="s">
        <v>3847</v>
      </c>
      <c r="D1802" s="10" t="s">
        <v>3848</v>
      </c>
      <c r="E1802" s="10" t="s">
        <v>3846</v>
      </c>
      <c r="F1802" s="220"/>
      <c r="G1802" s="220"/>
      <c r="H1802" s="220"/>
      <c r="I1802" s="23" t="s">
        <v>3038</v>
      </c>
      <c r="J1802" s="220"/>
    </row>
    <row r="1803" spans="1:10" s="226" customFormat="1" ht="12.75" x14ac:dyDescent="0.25">
      <c r="A1803" s="7">
        <v>373144000</v>
      </c>
      <c r="B1803" s="22" t="s">
        <v>3851</v>
      </c>
      <c r="C1803" s="10" t="s">
        <v>3852</v>
      </c>
      <c r="D1803" s="220">
        <v>19712</v>
      </c>
      <c r="E1803" s="10" t="s">
        <v>1022</v>
      </c>
      <c r="F1803" s="220"/>
      <c r="G1803" s="220"/>
      <c r="H1803" s="220"/>
      <c r="I1803" s="23" t="s">
        <v>273</v>
      </c>
      <c r="J1803" s="220"/>
    </row>
    <row r="1804" spans="1:10" s="226" customFormat="1" ht="12.75" x14ac:dyDescent="0.25">
      <c r="A1804" s="7">
        <v>525012399</v>
      </c>
      <c r="B1804" s="22" t="s">
        <v>3856</v>
      </c>
      <c r="C1804" s="10" t="s">
        <v>3862</v>
      </c>
      <c r="D1804" s="10" t="s">
        <v>3863</v>
      </c>
      <c r="E1804" s="10" t="s">
        <v>3864</v>
      </c>
      <c r="F1804" s="220"/>
      <c r="G1804" s="220"/>
      <c r="H1804" s="220"/>
      <c r="I1804" s="23" t="s">
        <v>92</v>
      </c>
      <c r="J1804" s="220"/>
    </row>
    <row r="1805" spans="1:10" s="226" customFormat="1" ht="12.75" x14ac:dyDescent="0.25">
      <c r="A1805" s="7">
        <v>441984000</v>
      </c>
      <c r="B1805" s="22" t="s">
        <v>3857</v>
      </c>
      <c r="C1805" s="10" t="s">
        <v>3858</v>
      </c>
      <c r="D1805" s="220">
        <v>5720</v>
      </c>
      <c r="E1805" s="10" t="s">
        <v>112</v>
      </c>
      <c r="F1805" s="220"/>
      <c r="G1805" s="220"/>
      <c r="H1805" s="220"/>
      <c r="I1805" s="23"/>
      <c r="J1805" s="220"/>
    </row>
    <row r="1806" spans="1:10" s="226" customFormat="1" ht="12.75" x14ac:dyDescent="0.25">
      <c r="A1806" s="7">
        <v>525200516</v>
      </c>
      <c r="B1806" s="22" t="s">
        <v>3859</v>
      </c>
      <c r="C1806" s="220">
        <v>74</v>
      </c>
      <c r="D1806" s="220">
        <v>1448</v>
      </c>
      <c r="E1806" s="10" t="s">
        <v>3860</v>
      </c>
      <c r="F1806" s="220"/>
      <c r="G1806" s="220"/>
      <c r="H1806" s="220"/>
      <c r="I1806" s="23" t="s">
        <v>39</v>
      </c>
      <c r="J1806" s="220"/>
    </row>
    <row r="1807" spans="1:10" s="226" customFormat="1" ht="12.75" x14ac:dyDescent="0.25">
      <c r="A1807" s="7">
        <v>525018154</v>
      </c>
      <c r="B1807" s="22" t="s">
        <v>3861</v>
      </c>
      <c r="C1807" s="220">
        <v>49</v>
      </c>
      <c r="D1807" s="220">
        <v>612</v>
      </c>
      <c r="E1807" s="10" t="s">
        <v>1105</v>
      </c>
      <c r="F1807" s="220"/>
      <c r="G1807" s="220"/>
      <c r="H1807" s="220"/>
      <c r="I1807" s="23" t="s">
        <v>3038</v>
      </c>
      <c r="J1807" s="220"/>
    </row>
    <row r="1808" spans="1:10" s="226" customFormat="1" ht="12.75" x14ac:dyDescent="0.25">
      <c r="A1808" s="7">
        <v>525003291</v>
      </c>
      <c r="B1808" s="22" t="s">
        <v>3865</v>
      </c>
      <c r="C1808" s="10" t="s">
        <v>3866</v>
      </c>
      <c r="D1808" s="10" t="s">
        <v>2929</v>
      </c>
      <c r="E1808" s="10" t="s">
        <v>3559</v>
      </c>
      <c r="F1808" s="220"/>
      <c r="G1808" s="220"/>
      <c r="H1808" s="220"/>
      <c r="I1808" s="23" t="s">
        <v>245</v>
      </c>
      <c r="J1808" s="220"/>
    </row>
    <row r="1809" spans="1:10" s="226" customFormat="1" ht="12.75" x14ac:dyDescent="0.25">
      <c r="A1809" s="7">
        <v>636022749</v>
      </c>
      <c r="B1809" s="22" t="s">
        <v>3867</v>
      </c>
      <c r="C1809" s="220">
        <v>183</v>
      </c>
      <c r="D1809" s="220">
        <v>30087</v>
      </c>
      <c r="E1809" s="10" t="s">
        <v>1780</v>
      </c>
      <c r="F1809" s="220"/>
      <c r="G1809" s="220"/>
      <c r="H1809" s="220"/>
      <c r="I1809" s="23" t="s">
        <v>2096</v>
      </c>
      <c r="J1809" s="220"/>
    </row>
    <row r="1810" spans="1:10" s="226" customFormat="1" ht="12.75" x14ac:dyDescent="0.25">
      <c r="A1810" s="7">
        <v>525100327</v>
      </c>
      <c r="B1810" s="22" t="s">
        <v>3870</v>
      </c>
      <c r="C1810" s="220">
        <v>166</v>
      </c>
      <c r="D1810" s="220">
        <v>19835</v>
      </c>
      <c r="E1810" s="10" t="s">
        <v>794</v>
      </c>
      <c r="F1810" s="220"/>
      <c r="G1810" s="220"/>
      <c r="H1810" s="220"/>
      <c r="I1810" s="23" t="s">
        <v>48</v>
      </c>
      <c r="J1810" s="220"/>
    </row>
    <row r="1811" spans="1:10" s="226" customFormat="1" ht="12.75" x14ac:dyDescent="0.25">
      <c r="A1811" s="7">
        <v>622121410</v>
      </c>
      <c r="B1811" s="22" t="s">
        <v>3875</v>
      </c>
      <c r="C1811" s="220">
        <v>190</v>
      </c>
      <c r="D1811" s="220">
        <v>33295</v>
      </c>
      <c r="E1811" s="10" t="s">
        <v>1221</v>
      </c>
      <c r="F1811" s="220"/>
      <c r="G1811" s="220"/>
      <c r="H1811" s="220"/>
      <c r="I1811" s="23" t="s">
        <v>1895</v>
      </c>
      <c r="J1811" s="220"/>
    </row>
    <row r="1812" spans="1:10" s="226" customFormat="1" ht="12.75" x14ac:dyDescent="0.25">
      <c r="A1812" s="7">
        <v>525008081</v>
      </c>
      <c r="B1812" s="22" t="s">
        <v>3876</v>
      </c>
      <c r="C1812" s="220">
        <v>99</v>
      </c>
      <c r="D1812" s="220">
        <v>3966</v>
      </c>
      <c r="E1812" s="10" t="s">
        <v>133</v>
      </c>
      <c r="F1812" s="220"/>
      <c r="G1812" s="220"/>
      <c r="H1812" s="220"/>
      <c r="I1812" s="23" t="s">
        <v>96</v>
      </c>
      <c r="J1812" s="220"/>
    </row>
    <row r="1813" spans="1:10" s="226" customFormat="1" ht="12.75" x14ac:dyDescent="0.25">
      <c r="A1813" s="7">
        <v>352001187</v>
      </c>
      <c r="B1813" s="22" t="s">
        <v>3877</v>
      </c>
      <c r="C1813" s="10" t="s">
        <v>1299</v>
      </c>
      <c r="D1813" s="220">
        <v>36474</v>
      </c>
      <c r="E1813" s="10" t="s">
        <v>198</v>
      </c>
      <c r="F1813" s="220"/>
      <c r="G1813" s="220"/>
      <c r="H1813" s="220"/>
      <c r="I1813" s="23" t="s">
        <v>262</v>
      </c>
      <c r="J1813" s="220"/>
    </row>
    <row r="1814" spans="1:10" s="226" customFormat="1" ht="12.75" x14ac:dyDescent="0.25">
      <c r="A1814" s="7">
        <v>525016091</v>
      </c>
      <c r="B1814" s="22" t="s">
        <v>3878</v>
      </c>
      <c r="C1814" s="220">
        <v>60</v>
      </c>
      <c r="D1814" s="220">
        <v>690</v>
      </c>
      <c r="E1814" s="10" t="s">
        <v>1027</v>
      </c>
      <c r="F1814" s="220"/>
      <c r="G1814" s="220"/>
      <c r="H1814" s="220"/>
      <c r="I1814" s="23" t="s">
        <v>260</v>
      </c>
      <c r="J1814" s="220"/>
    </row>
    <row r="1815" spans="1:10" s="226" customFormat="1" ht="12.75" x14ac:dyDescent="0.25">
      <c r="A1815" s="7">
        <v>567647000</v>
      </c>
      <c r="B1815" s="22" t="s">
        <v>3886</v>
      </c>
      <c r="C1815" s="10" t="s">
        <v>3887</v>
      </c>
      <c r="D1815" s="220">
        <v>2612</v>
      </c>
      <c r="E1815" s="10" t="s">
        <v>178</v>
      </c>
      <c r="F1815" s="220"/>
      <c r="G1815" s="220"/>
      <c r="H1815" s="220"/>
      <c r="I1815" s="23" t="s">
        <v>1895</v>
      </c>
      <c r="J1815" s="220"/>
    </row>
    <row r="1816" spans="1:10" s="226" customFormat="1" ht="12.75" x14ac:dyDescent="0.25">
      <c r="A1816" s="7">
        <v>525901620</v>
      </c>
      <c r="B1816" s="22" t="s">
        <v>5315</v>
      </c>
      <c r="C1816" s="10" t="s">
        <v>3252</v>
      </c>
      <c r="D1816" s="10" t="s">
        <v>2488</v>
      </c>
      <c r="E1816" s="10" t="s">
        <v>1846</v>
      </c>
      <c r="F1816" s="220"/>
      <c r="G1816" s="220"/>
      <c r="H1816" s="220"/>
      <c r="I1816" s="23" t="s">
        <v>92</v>
      </c>
      <c r="J1816" s="220"/>
    </row>
    <row r="1817" spans="1:10" s="226" customFormat="1" ht="12.75" x14ac:dyDescent="0.25">
      <c r="A1817" s="7">
        <v>525003253</v>
      </c>
      <c r="B1817" s="22" t="s">
        <v>3888</v>
      </c>
      <c r="C1817" s="10" t="s">
        <v>3889</v>
      </c>
      <c r="D1817" s="10" t="s">
        <v>234</v>
      </c>
      <c r="E1817" s="10" t="s">
        <v>2389</v>
      </c>
      <c r="F1817" s="220"/>
      <c r="G1817" s="220"/>
      <c r="H1817" s="220"/>
      <c r="I1817" s="23" t="s">
        <v>92</v>
      </c>
      <c r="J1817" s="220"/>
    </row>
    <row r="1818" spans="1:10" s="226" customFormat="1" ht="12.75" x14ac:dyDescent="0.25">
      <c r="A1818" s="7">
        <v>5250022168</v>
      </c>
      <c r="B1818" s="22" t="s">
        <v>3795</v>
      </c>
      <c r="C1818" s="10" t="s">
        <v>1699</v>
      </c>
      <c r="D1818" s="10" t="s">
        <v>2602</v>
      </c>
      <c r="E1818" s="10" t="s">
        <v>3890</v>
      </c>
      <c r="F1818" s="220"/>
      <c r="G1818" s="220"/>
      <c r="H1818" s="220"/>
      <c r="I1818" s="23" t="s">
        <v>71</v>
      </c>
      <c r="J1818" s="220"/>
    </row>
    <row r="1819" spans="1:10" s="226" customFormat="1" ht="12.75" x14ac:dyDescent="0.25">
      <c r="A1819" s="7">
        <v>538007501</v>
      </c>
      <c r="B1819" s="22" t="s">
        <v>3891</v>
      </c>
      <c r="C1819" s="220">
        <v>229</v>
      </c>
      <c r="D1819" s="220">
        <v>43005</v>
      </c>
      <c r="E1819" s="10" t="s">
        <v>135</v>
      </c>
      <c r="F1819" s="220"/>
      <c r="G1819" s="220"/>
      <c r="H1819" s="220"/>
      <c r="I1819" s="23" t="s">
        <v>248</v>
      </c>
      <c r="J1819" s="220"/>
    </row>
    <row r="1820" spans="1:10" s="226" customFormat="1" ht="12.75" x14ac:dyDescent="0.25">
      <c r="A1820" s="7">
        <v>525015009</v>
      </c>
      <c r="B1820" s="22" t="s">
        <v>3892</v>
      </c>
      <c r="C1820" s="220">
        <v>71</v>
      </c>
      <c r="D1820" s="220">
        <v>1224</v>
      </c>
      <c r="E1820" s="10" t="s">
        <v>764</v>
      </c>
      <c r="F1820" s="220"/>
      <c r="G1820" s="220"/>
      <c r="H1820" s="220"/>
      <c r="I1820" s="23" t="s">
        <v>2398</v>
      </c>
      <c r="J1820" s="220"/>
    </row>
    <row r="1821" spans="1:10" s="226" customFormat="1" ht="12.75" x14ac:dyDescent="0.25">
      <c r="A1821" s="7">
        <v>525901882</v>
      </c>
      <c r="B1821" s="22" t="s">
        <v>3893</v>
      </c>
      <c r="C1821" s="10" t="s">
        <v>375</v>
      </c>
      <c r="D1821" s="10" t="s">
        <v>3835</v>
      </c>
      <c r="E1821" s="10" t="s">
        <v>3426</v>
      </c>
      <c r="F1821" s="220"/>
      <c r="G1821" s="220"/>
      <c r="H1821" s="220"/>
      <c r="I1821" s="23" t="s">
        <v>249</v>
      </c>
      <c r="J1821" s="220"/>
    </row>
    <row r="1822" spans="1:10" s="226" customFormat="1" ht="12.75" x14ac:dyDescent="0.25">
      <c r="A1822" s="7">
        <v>525015135</v>
      </c>
      <c r="B1822" s="22" t="s">
        <v>3895</v>
      </c>
      <c r="C1822" s="10" t="s">
        <v>3896</v>
      </c>
      <c r="D1822" s="220">
        <v>3208</v>
      </c>
      <c r="E1822" s="10" t="s">
        <v>1874</v>
      </c>
      <c r="F1822" s="220"/>
      <c r="G1822" s="220"/>
      <c r="H1822" s="220"/>
      <c r="I1822" s="23" t="s">
        <v>153</v>
      </c>
      <c r="J1822" s="220"/>
    </row>
    <row r="1823" spans="1:10" s="226" customFormat="1" ht="12.75" x14ac:dyDescent="0.25">
      <c r="A1823" s="7">
        <v>477314800</v>
      </c>
      <c r="B1823" s="22" t="s">
        <v>3900</v>
      </c>
      <c r="C1823" s="220">
        <v>179</v>
      </c>
      <c r="D1823" s="220">
        <v>21532</v>
      </c>
      <c r="E1823" s="10" t="s">
        <v>141</v>
      </c>
      <c r="F1823" s="220"/>
      <c r="G1823" s="220"/>
      <c r="H1823" s="220"/>
      <c r="I1823" s="23" t="s">
        <v>71</v>
      </c>
      <c r="J1823" s="220"/>
    </row>
    <row r="1824" spans="1:10" s="226" customFormat="1" ht="12.75" x14ac:dyDescent="0.25">
      <c r="A1824" s="7">
        <v>352978276</v>
      </c>
      <c r="B1824" s="22" t="s">
        <v>3903</v>
      </c>
      <c r="C1824" s="220">
        <v>127</v>
      </c>
      <c r="D1824" s="220">
        <v>8455</v>
      </c>
      <c r="E1824" s="10" t="s">
        <v>933</v>
      </c>
      <c r="F1824" s="220"/>
      <c r="G1824" s="220"/>
      <c r="H1824" s="220"/>
      <c r="I1824" s="23" t="s">
        <v>2096</v>
      </c>
      <c r="J1824" s="220"/>
    </row>
    <row r="1825" spans="1:10" s="226" customFormat="1" ht="12.75" x14ac:dyDescent="0.25">
      <c r="A1825" s="7">
        <v>525401787</v>
      </c>
      <c r="B1825" s="22" t="s">
        <v>3904</v>
      </c>
      <c r="C1825" s="10" t="s">
        <v>3905</v>
      </c>
      <c r="D1825" s="10" t="s">
        <v>3906</v>
      </c>
      <c r="E1825" s="10" t="s">
        <v>855</v>
      </c>
      <c r="F1825" s="220"/>
      <c r="G1825" s="220"/>
      <c r="H1825" s="220"/>
      <c r="I1825" s="23" t="s">
        <v>249</v>
      </c>
      <c r="J1825" s="220"/>
    </row>
    <row r="1826" spans="1:10" s="226" customFormat="1" ht="12.75" x14ac:dyDescent="0.25">
      <c r="A1826" s="7">
        <v>525014005</v>
      </c>
      <c r="B1826" s="22" t="s">
        <v>3907</v>
      </c>
      <c r="C1826" s="220">
        <v>90</v>
      </c>
      <c r="D1826" s="220">
        <v>2770</v>
      </c>
      <c r="E1826" s="10" t="s">
        <v>764</v>
      </c>
      <c r="F1826" s="220"/>
      <c r="G1826" s="220"/>
      <c r="H1826" s="220"/>
      <c r="I1826" s="23" t="s">
        <v>96</v>
      </c>
      <c r="J1826" s="220"/>
    </row>
    <row r="1827" spans="1:10" s="226" customFormat="1" ht="12.75" x14ac:dyDescent="0.25">
      <c r="A1827" s="7">
        <v>525901273</v>
      </c>
      <c r="B1827" s="22" t="s">
        <v>3908</v>
      </c>
      <c r="C1827" s="220">
        <v>63</v>
      </c>
      <c r="D1827" s="220">
        <v>873</v>
      </c>
      <c r="E1827" s="10" t="s">
        <v>1102</v>
      </c>
      <c r="F1827" s="220"/>
      <c r="G1827" s="220"/>
      <c r="H1827" s="220"/>
      <c r="I1827" s="221"/>
      <c r="J1827" s="220"/>
    </row>
    <row r="1828" spans="1:10" s="226" customFormat="1" ht="12.75" x14ac:dyDescent="0.25">
      <c r="A1828" s="7">
        <v>525003447</v>
      </c>
      <c r="B1828" s="22" t="s">
        <v>3909</v>
      </c>
      <c r="C1828" s="10" t="s">
        <v>3910</v>
      </c>
      <c r="D1828" s="10" t="s">
        <v>3432</v>
      </c>
      <c r="E1828" s="10" t="s">
        <v>1353</v>
      </c>
      <c r="F1828" s="220"/>
      <c r="G1828" s="220"/>
      <c r="H1828" s="220"/>
      <c r="I1828" s="23" t="s">
        <v>1976</v>
      </c>
      <c r="J1828" s="220"/>
    </row>
    <row r="1829" spans="1:10" s="226" customFormat="1" ht="12.75" x14ac:dyDescent="0.25">
      <c r="A1829" s="21">
        <v>636025755</v>
      </c>
      <c r="B1829" s="22" t="s">
        <v>3913</v>
      </c>
      <c r="C1829" s="10">
        <v>200.07</v>
      </c>
      <c r="D1829" s="10">
        <v>35297</v>
      </c>
      <c r="E1829" s="10">
        <v>7.5</v>
      </c>
      <c r="F1829" s="10"/>
      <c r="G1829" s="10"/>
      <c r="H1829" s="10"/>
      <c r="I1829" s="23" t="s">
        <v>414</v>
      </c>
      <c r="J1829" s="220"/>
    </row>
    <row r="1830" spans="1:10" s="226" customFormat="1" ht="12.75" x14ac:dyDescent="0.25">
      <c r="A1830" s="87">
        <v>567543000</v>
      </c>
      <c r="B1830" s="22" t="s">
        <v>3914</v>
      </c>
      <c r="C1830" s="10">
        <v>128</v>
      </c>
      <c r="D1830" s="10">
        <v>7745</v>
      </c>
      <c r="E1830" s="10">
        <v>9.1999999999999993</v>
      </c>
      <c r="F1830" s="10"/>
      <c r="G1830" s="10"/>
      <c r="H1830" s="10"/>
      <c r="I1830" s="23" t="s">
        <v>1895</v>
      </c>
      <c r="J1830" s="220"/>
    </row>
    <row r="1831" spans="1:10" s="226" customFormat="1" ht="12.75" x14ac:dyDescent="0.25">
      <c r="A1831" s="10">
        <v>525003665</v>
      </c>
      <c r="B1831" s="22" t="s">
        <v>3915</v>
      </c>
      <c r="C1831" s="10" t="s">
        <v>3916</v>
      </c>
      <c r="D1831" s="10" t="s">
        <v>3917</v>
      </c>
      <c r="E1831" s="10" t="s">
        <v>3918</v>
      </c>
      <c r="F1831" s="220"/>
      <c r="G1831" s="220"/>
      <c r="H1831" s="220"/>
      <c r="I1831" s="23" t="s">
        <v>71</v>
      </c>
      <c r="J1831" s="220"/>
    </row>
    <row r="1832" spans="1:10" s="204" customFormat="1" ht="12.75" x14ac:dyDescent="0.25">
      <c r="A1832" s="224">
        <v>525801720</v>
      </c>
      <c r="B1832" s="229" t="s">
        <v>3919</v>
      </c>
      <c r="C1832" s="224" t="s">
        <v>1164</v>
      </c>
      <c r="D1832" s="224" t="s">
        <v>3253</v>
      </c>
      <c r="E1832" s="224" t="s">
        <v>3920</v>
      </c>
      <c r="F1832" s="224"/>
      <c r="G1832" s="224"/>
      <c r="H1832" s="224"/>
      <c r="I1832" s="224" t="s">
        <v>353</v>
      </c>
      <c r="J1832" s="224"/>
    </row>
    <row r="1833" spans="1:10" s="204" customFormat="1" ht="12.75" x14ac:dyDescent="0.25">
      <c r="A1833" s="224">
        <v>525100270</v>
      </c>
      <c r="B1833" s="229" t="s">
        <v>3921</v>
      </c>
      <c r="C1833" s="224">
        <v>72</v>
      </c>
      <c r="D1833" s="224">
        <v>1020</v>
      </c>
      <c r="E1833" s="224">
        <v>3.8</v>
      </c>
      <c r="F1833" s="224"/>
      <c r="G1833" s="224"/>
      <c r="H1833" s="224"/>
      <c r="I1833" s="224" t="s">
        <v>2398</v>
      </c>
      <c r="J1833" s="224"/>
    </row>
    <row r="1834" spans="1:10" s="204" customFormat="1" ht="12.75" x14ac:dyDescent="0.25">
      <c r="A1834" s="224">
        <v>525801790</v>
      </c>
      <c r="B1834" s="229" t="s">
        <v>3922</v>
      </c>
      <c r="C1834" s="224">
        <v>129</v>
      </c>
      <c r="D1834" s="224">
        <v>6398</v>
      </c>
      <c r="E1834" s="224">
        <v>2.7</v>
      </c>
      <c r="F1834" s="224"/>
      <c r="G1834" s="224"/>
      <c r="H1834" s="224"/>
      <c r="I1834" s="224"/>
      <c r="J1834" s="224"/>
    </row>
    <row r="1835" spans="1:10" s="204" customFormat="1" ht="12.75" x14ac:dyDescent="0.25">
      <c r="A1835" s="224">
        <v>636021420</v>
      </c>
      <c r="B1835" s="229" t="s">
        <v>3923</v>
      </c>
      <c r="C1835" s="224">
        <v>183</v>
      </c>
      <c r="D1835" s="224">
        <v>30010</v>
      </c>
      <c r="E1835" s="224">
        <v>12.2</v>
      </c>
      <c r="F1835" s="224"/>
      <c r="G1835" s="224"/>
      <c r="H1835" s="224"/>
      <c r="I1835" s="224"/>
      <c r="J1835" s="224"/>
    </row>
    <row r="1836" spans="1:10" s="204" customFormat="1" ht="12.75" x14ac:dyDescent="0.25">
      <c r="A1836" s="224">
        <v>353086000</v>
      </c>
      <c r="B1836" s="229" t="s">
        <v>3924</v>
      </c>
      <c r="C1836" s="224">
        <v>120</v>
      </c>
      <c r="D1836" s="224">
        <v>9589</v>
      </c>
      <c r="E1836" s="224">
        <v>8.9</v>
      </c>
      <c r="F1836" s="224"/>
      <c r="G1836" s="224"/>
      <c r="H1836" s="224"/>
      <c r="I1836" s="224" t="s">
        <v>262</v>
      </c>
      <c r="J1836" s="224"/>
    </row>
    <row r="1837" spans="1:10" s="204" customFormat="1" ht="12.75" x14ac:dyDescent="0.25">
      <c r="A1837" s="224">
        <v>525401967</v>
      </c>
      <c r="B1837" s="229" t="s">
        <v>3925</v>
      </c>
      <c r="C1837" s="224" t="s">
        <v>2151</v>
      </c>
      <c r="D1837" s="224" t="s">
        <v>3926</v>
      </c>
      <c r="E1837" s="224" t="s">
        <v>2152</v>
      </c>
      <c r="F1837" s="224"/>
      <c r="G1837" s="224"/>
      <c r="H1837" s="224"/>
      <c r="I1837" s="224" t="s">
        <v>3038</v>
      </c>
      <c r="J1837" s="224"/>
    </row>
    <row r="1838" spans="1:10" s="204" customFormat="1" ht="12.75" x14ac:dyDescent="0.25">
      <c r="A1838" s="224">
        <v>351177000</v>
      </c>
      <c r="B1838" s="229" t="s">
        <v>3927</v>
      </c>
      <c r="C1838" s="224">
        <v>229</v>
      </c>
      <c r="D1838" s="224">
        <v>44019</v>
      </c>
      <c r="E1838" s="224">
        <v>12.3</v>
      </c>
      <c r="F1838" s="224"/>
      <c r="G1838" s="224"/>
      <c r="H1838" s="224"/>
      <c r="I1838" s="224" t="s">
        <v>71</v>
      </c>
      <c r="J1838" s="224"/>
    </row>
    <row r="1839" spans="1:10" s="204" customFormat="1" ht="12.75" x14ac:dyDescent="0.25">
      <c r="A1839" s="224">
        <v>525701809</v>
      </c>
      <c r="B1839" s="229" t="s">
        <v>3928</v>
      </c>
      <c r="C1839" s="224">
        <v>80</v>
      </c>
      <c r="D1839" s="224">
        <v>3111</v>
      </c>
      <c r="E1839" s="224">
        <v>4.4000000000000004</v>
      </c>
      <c r="F1839" s="224"/>
      <c r="G1839" s="224"/>
      <c r="H1839" s="224"/>
      <c r="I1839" s="224" t="s">
        <v>1584</v>
      </c>
      <c r="J1839" s="224"/>
    </row>
    <row r="1840" spans="1:10" s="204" customFormat="1" ht="12.75" x14ac:dyDescent="0.25">
      <c r="A1840" s="224">
        <v>525801743</v>
      </c>
      <c r="B1840" s="229" t="s">
        <v>3929</v>
      </c>
      <c r="C1840" s="224">
        <v>99</v>
      </c>
      <c r="D1840" s="224">
        <v>3233</v>
      </c>
      <c r="E1840" s="224">
        <v>3.4</v>
      </c>
      <c r="F1840" s="224"/>
      <c r="G1840" s="224"/>
      <c r="H1840" s="224"/>
      <c r="I1840" s="224" t="s">
        <v>1584</v>
      </c>
      <c r="J1840" s="224"/>
    </row>
    <row r="1841" spans="1:10" s="204" customFormat="1" ht="12.75" x14ac:dyDescent="0.25">
      <c r="A1841" s="224">
        <v>477615900</v>
      </c>
      <c r="B1841" s="229" t="s">
        <v>3930</v>
      </c>
      <c r="C1841" s="224">
        <v>229</v>
      </c>
      <c r="D1841" s="224">
        <v>44196</v>
      </c>
      <c r="E1841" s="224">
        <v>8</v>
      </c>
      <c r="F1841" s="224"/>
      <c r="G1841" s="224"/>
      <c r="H1841" s="224"/>
      <c r="I1841" s="224"/>
      <c r="J1841" s="224"/>
    </row>
    <row r="1842" spans="1:10" s="204" customFormat="1" ht="12.75" x14ac:dyDescent="0.25">
      <c r="A1842" s="224">
        <v>525007317</v>
      </c>
      <c r="B1842" s="229" t="s">
        <v>3931</v>
      </c>
      <c r="C1842" s="224" t="s">
        <v>3932</v>
      </c>
      <c r="D1842" s="224" t="s">
        <v>3933</v>
      </c>
      <c r="E1842" s="224" t="s">
        <v>3934</v>
      </c>
      <c r="F1842" s="224"/>
      <c r="G1842" s="224"/>
      <c r="H1842" s="224"/>
      <c r="I1842" s="224" t="s">
        <v>1584</v>
      </c>
      <c r="J1842" s="224"/>
    </row>
    <row r="1843" spans="1:10" s="204" customFormat="1" ht="12.75" x14ac:dyDescent="0.25">
      <c r="A1843" s="224">
        <v>525401021</v>
      </c>
      <c r="B1843" s="229" t="s">
        <v>3935</v>
      </c>
      <c r="C1843" s="224" t="s">
        <v>3936</v>
      </c>
      <c r="D1843" s="224" t="s">
        <v>3937</v>
      </c>
      <c r="E1843" s="224" t="s">
        <v>3938</v>
      </c>
      <c r="F1843" s="224"/>
      <c r="G1843" s="224"/>
      <c r="H1843" s="224"/>
      <c r="I1843" s="224" t="s">
        <v>46</v>
      </c>
      <c r="J1843" s="224"/>
    </row>
    <row r="1844" spans="1:10" s="204" customFormat="1" ht="12.75" x14ac:dyDescent="0.25">
      <c r="A1844" s="224">
        <v>525801762</v>
      </c>
      <c r="B1844" s="229" t="s">
        <v>3939</v>
      </c>
      <c r="C1844" s="224" t="s">
        <v>3868</v>
      </c>
      <c r="D1844" s="224" t="s">
        <v>3940</v>
      </c>
      <c r="E1844" s="224" t="s">
        <v>3941</v>
      </c>
      <c r="F1844" s="224"/>
      <c r="G1844" s="224"/>
      <c r="H1844" s="224"/>
      <c r="I1844" s="224" t="s">
        <v>1870</v>
      </c>
      <c r="J1844" s="224"/>
    </row>
    <row r="1845" spans="1:10" s="204" customFormat="1" ht="12.75" x14ac:dyDescent="0.25">
      <c r="A1845" s="224">
        <v>304857000</v>
      </c>
      <c r="B1845" s="229" t="s">
        <v>3942</v>
      </c>
      <c r="C1845" s="224">
        <v>171.21</v>
      </c>
      <c r="D1845" s="224">
        <v>22184</v>
      </c>
      <c r="E1845" s="224">
        <v>8.4</v>
      </c>
      <c r="F1845" s="224"/>
      <c r="G1845" s="224"/>
      <c r="H1845" s="224"/>
      <c r="I1845" s="224" t="s">
        <v>160</v>
      </c>
      <c r="J1845" s="224"/>
    </row>
    <row r="1846" spans="1:10" s="204" customFormat="1" ht="12.75" x14ac:dyDescent="0.25">
      <c r="A1846" s="224">
        <v>525003450</v>
      </c>
      <c r="B1846" s="229" t="s">
        <v>3943</v>
      </c>
      <c r="C1846" s="224" t="s">
        <v>3944</v>
      </c>
      <c r="D1846" s="224" t="s">
        <v>3945</v>
      </c>
      <c r="E1846" s="224" t="s">
        <v>3946</v>
      </c>
      <c r="F1846" s="224"/>
      <c r="G1846" s="224"/>
      <c r="H1846" s="224"/>
      <c r="I1846" s="224" t="s">
        <v>1448</v>
      </c>
      <c r="J1846" s="224"/>
    </row>
    <row r="1847" spans="1:10" s="204" customFormat="1" ht="12.75" x14ac:dyDescent="0.25">
      <c r="A1847" s="224">
        <v>525300937</v>
      </c>
      <c r="B1847" s="229" t="s">
        <v>3947</v>
      </c>
      <c r="C1847" s="224" t="s">
        <v>2491</v>
      </c>
      <c r="D1847" s="224" t="s">
        <v>3948</v>
      </c>
      <c r="E1847" s="224" t="s">
        <v>3949</v>
      </c>
      <c r="F1847" s="224"/>
      <c r="G1847" s="224"/>
      <c r="H1847" s="224"/>
      <c r="I1847" s="224" t="s">
        <v>2002</v>
      </c>
      <c r="J1847" s="224"/>
    </row>
    <row r="1848" spans="1:10" s="204" customFormat="1" ht="12.75" x14ac:dyDescent="0.25">
      <c r="A1848" s="224">
        <v>525901082</v>
      </c>
      <c r="B1848" s="229" t="s">
        <v>3950</v>
      </c>
      <c r="C1848" s="224" t="s">
        <v>3951</v>
      </c>
      <c r="D1848" s="224" t="s">
        <v>3952</v>
      </c>
      <c r="E1848" s="224" t="s">
        <v>1396</v>
      </c>
      <c r="F1848" s="224"/>
      <c r="G1848" s="224"/>
      <c r="H1848" s="224"/>
      <c r="I1848" s="224" t="s">
        <v>353</v>
      </c>
      <c r="J1848" s="224"/>
    </row>
    <row r="1849" spans="1:10" s="204" customFormat="1" ht="12.75" x14ac:dyDescent="0.25">
      <c r="A1849" s="224">
        <v>525400803</v>
      </c>
      <c r="B1849" s="229" t="s">
        <v>3953</v>
      </c>
      <c r="C1849" s="224" t="s">
        <v>3954</v>
      </c>
      <c r="D1849" s="224" t="s">
        <v>3332</v>
      </c>
      <c r="E1849" s="224" t="s">
        <v>3955</v>
      </c>
      <c r="F1849" s="224"/>
      <c r="G1849" s="224"/>
      <c r="H1849" s="224"/>
      <c r="I1849" s="224" t="s">
        <v>2002</v>
      </c>
      <c r="J1849" s="224"/>
    </row>
    <row r="1850" spans="1:10" s="204" customFormat="1" ht="12.75" x14ac:dyDescent="0.25">
      <c r="A1850" s="224">
        <v>525201810</v>
      </c>
      <c r="B1850" s="229" t="s">
        <v>3956</v>
      </c>
      <c r="C1850" s="224">
        <v>121</v>
      </c>
      <c r="D1850" s="224">
        <v>8562</v>
      </c>
      <c r="E1850" s="224">
        <v>5.6</v>
      </c>
      <c r="F1850" s="224"/>
      <c r="G1850" s="224"/>
      <c r="H1850" s="224"/>
      <c r="I1850" s="224" t="s">
        <v>1448</v>
      </c>
      <c r="J1850" s="224"/>
    </row>
    <row r="1851" spans="1:10" s="204" customFormat="1" ht="12.75" x14ac:dyDescent="0.25">
      <c r="A1851" s="224">
        <v>413241940</v>
      </c>
      <c r="B1851" s="229" t="s">
        <v>3957</v>
      </c>
      <c r="C1851" s="224">
        <v>113</v>
      </c>
      <c r="D1851" s="224">
        <v>4742</v>
      </c>
      <c r="E1851" s="224">
        <v>5</v>
      </c>
      <c r="F1851" s="224"/>
      <c r="G1851" s="224"/>
      <c r="H1851" s="224"/>
      <c r="I1851" s="224" t="s">
        <v>1976</v>
      </c>
      <c r="J1851" s="224"/>
    </row>
    <row r="1852" spans="1:10" s="204" customFormat="1" ht="12.75" x14ac:dyDescent="0.25">
      <c r="A1852" s="224">
        <v>636025036</v>
      </c>
      <c r="B1852" s="229" t="s">
        <v>3958</v>
      </c>
      <c r="C1852" s="224">
        <v>199</v>
      </c>
      <c r="D1852" s="224">
        <v>36474</v>
      </c>
      <c r="E1852" s="224">
        <v>13.6</v>
      </c>
      <c r="F1852" s="224"/>
      <c r="G1852" s="224"/>
      <c r="H1852" s="224"/>
      <c r="I1852" s="224" t="s">
        <v>262</v>
      </c>
      <c r="J1852" s="224"/>
    </row>
    <row r="1853" spans="1:10" s="204" customFormat="1" ht="12.75" x14ac:dyDescent="0.25">
      <c r="A1853" s="224">
        <v>352002288</v>
      </c>
      <c r="B1853" s="229" t="s">
        <v>3959</v>
      </c>
      <c r="C1853" s="224">
        <v>199</v>
      </c>
      <c r="D1853" s="224">
        <v>36138</v>
      </c>
      <c r="E1853" s="224">
        <v>7</v>
      </c>
      <c r="F1853" s="224"/>
      <c r="G1853" s="224"/>
      <c r="H1853" s="224"/>
      <c r="I1853" s="224" t="s">
        <v>71</v>
      </c>
      <c r="J1853" s="224"/>
    </row>
    <row r="1854" spans="1:10" s="204" customFormat="1" ht="12.75" x14ac:dyDescent="0.25">
      <c r="A1854" s="224">
        <v>525019416</v>
      </c>
      <c r="B1854" s="229" t="s">
        <v>3960</v>
      </c>
      <c r="C1854" s="224">
        <v>96.5</v>
      </c>
      <c r="D1854" s="224">
        <v>3127</v>
      </c>
      <c r="E1854" s="224">
        <v>6</v>
      </c>
      <c r="F1854" s="224"/>
      <c r="G1854" s="224"/>
      <c r="H1854" s="224"/>
      <c r="I1854" s="224" t="s">
        <v>79</v>
      </c>
      <c r="J1854" s="224"/>
    </row>
    <row r="1855" spans="1:10" s="204" customFormat="1" ht="12.75" x14ac:dyDescent="0.25">
      <c r="A1855" s="224">
        <v>241256000</v>
      </c>
      <c r="B1855" s="229" t="s">
        <v>3961</v>
      </c>
      <c r="C1855" s="224">
        <v>300</v>
      </c>
      <c r="D1855" s="224">
        <v>106823</v>
      </c>
      <c r="E1855" s="224">
        <v>11.3</v>
      </c>
      <c r="F1855" s="224"/>
      <c r="G1855" s="224"/>
      <c r="H1855" s="224"/>
      <c r="I1855" s="224" t="s">
        <v>154</v>
      </c>
      <c r="J1855" s="224"/>
    </row>
    <row r="1856" spans="1:10" s="204" customFormat="1" ht="12.75" x14ac:dyDescent="0.25">
      <c r="A1856" s="224">
        <v>525020217</v>
      </c>
      <c r="B1856" s="229" t="s">
        <v>3962</v>
      </c>
      <c r="C1856" s="224" t="s">
        <v>3963</v>
      </c>
      <c r="D1856" s="224" t="s">
        <v>3964</v>
      </c>
      <c r="E1856" s="224" t="s">
        <v>3965</v>
      </c>
      <c r="F1856" s="224"/>
      <c r="G1856" s="224"/>
      <c r="H1856" s="224"/>
      <c r="I1856" s="224" t="s">
        <v>160</v>
      </c>
      <c r="J1856" s="224"/>
    </row>
    <row r="1857" spans="1:10" s="204" customFormat="1" ht="12.75" x14ac:dyDescent="0.25">
      <c r="A1857" s="224">
        <v>440241000</v>
      </c>
      <c r="B1857" s="229" t="s">
        <v>3966</v>
      </c>
      <c r="C1857" s="224">
        <v>120</v>
      </c>
      <c r="D1857" s="224">
        <v>8231</v>
      </c>
      <c r="E1857" s="224">
        <v>5.5</v>
      </c>
      <c r="F1857" s="224"/>
      <c r="G1857" s="224"/>
      <c r="H1857" s="224"/>
      <c r="I1857" s="224"/>
      <c r="J1857" s="224"/>
    </row>
    <row r="1858" spans="1:10" s="204" customFormat="1" ht="12.75" x14ac:dyDescent="0.25">
      <c r="A1858" s="224">
        <v>525012247</v>
      </c>
      <c r="B1858" s="229" t="s">
        <v>3967</v>
      </c>
      <c r="C1858" s="224" t="s">
        <v>3968</v>
      </c>
      <c r="D1858" s="224" t="s">
        <v>3969</v>
      </c>
      <c r="E1858" s="224" t="s">
        <v>3970</v>
      </c>
      <c r="F1858" s="224"/>
      <c r="G1858" s="224"/>
      <c r="H1858" s="224"/>
      <c r="I1858" s="224" t="s">
        <v>46</v>
      </c>
      <c r="J1858" s="224"/>
    </row>
    <row r="1859" spans="1:10" s="204" customFormat="1" ht="12.75" x14ac:dyDescent="0.25">
      <c r="A1859" s="224">
        <v>525601177</v>
      </c>
      <c r="B1859" s="229" t="s">
        <v>3971</v>
      </c>
      <c r="C1859" s="224"/>
      <c r="D1859" s="224"/>
      <c r="E1859" s="224"/>
      <c r="F1859" s="224"/>
      <c r="G1859" s="224"/>
      <c r="H1859" s="224"/>
      <c r="I1859" s="224"/>
      <c r="J1859" s="224"/>
    </row>
    <row r="1860" spans="1:10" s="204" customFormat="1" ht="12.75" x14ac:dyDescent="0.25">
      <c r="A1860" s="7">
        <v>525003147</v>
      </c>
      <c r="B1860" s="18" t="s">
        <v>3972</v>
      </c>
      <c r="C1860" s="7" t="s">
        <v>3973</v>
      </c>
      <c r="D1860" s="7" t="s">
        <v>3391</v>
      </c>
      <c r="E1860" s="7" t="s">
        <v>2499</v>
      </c>
      <c r="F1860" s="7"/>
      <c r="G1860" s="7"/>
      <c r="H1860" s="7"/>
      <c r="I1860" s="7" t="s">
        <v>249</v>
      </c>
      <c r="J1860" s="224"/>
    </row>
    <row r="1861" spans="1:10" s="230" customFormat="1" x14ac:dyDescent="0.25">
      <c r="A1861" s="224">
        <v>5255001933</v>
      </c>
      <c r="B1861" s="229" t="s">
        <v>3974</v>
      </c>
      <c r="C1861" s="224">
        <v>50</v>
      </c>
      <c r="D1861" s="224">
        <v>450</v>
      </c>
      <c r="E1861" s="224">
        <v>1.8</v>
      </c>
      <c r="F1861" s="224"/>
      <c r="G1861" s="224"/>
      <c r="H1861" s="224"/>
      <c r="I1861" s="224" t="s">
        <v>3975</v>
      </c>
      <c r="J1861" s="224"/>
    </row>
    <row r="1862" spans="1:10" s="230" customFormat="1" x14ac:dyDescent="0.25">
      <c r="A1862" s="224">
        <v>441164000</v>
      </c>
      <c r="B1862" s="229" t="s">
        <v>3976</v>
      </c>
      <c r="C1862" s="224">
        <v>144</v>
      </c>
      <c r="D1862" s="224">
        <v>11757</v>
      </c>
      <c r="E1862" s="224">
        <v>9.8000000000000007</v>
      </c>
      <c r="F1862" s="224"/>
      <c r="G1862" s="224"/>
      <c r="H1862" s="224"/>
      <c r="I1862" s="224" t="s">
        <v>150</v>
      </c>
      <c r="J1862" s="224"/>
    </row>
    <row r="1863" spans="1:10" s="230" customFormat="1" x14ac:dyDescent="0.25">
      <c r="A1863" s="224">
        <v>525400847</v>
      </c>
      <c r="B1863" s="229" t="s">
        <v>3977</v>
      </c>
      <c r="C1863" s="224" t="s">
        <v>621</v>
      </c>
      <c r="D1863" s="224" t="s">
        <v>3978</v>
      </c>
      <c r="E1863" s="224" t="s">
        <v>3979</v>
      </c>
      <c r="F1863" s="224"/>
      <c r="G1863" s="224"/>
      <c r="H1863" s="224"/>
      <c r="I1863" s="224" t="s">
        <v>39</v>
      </c>
      <c r="J1863" s="224"/>
    </row>
    <row r="1864" spans="1:10" s="230" customFormat="1" x14ac:dyDescent="0.25">
      <c r="A1864" s="224">
        <v>636024445</v>
      </c>
      <c r="B1864" s="229" t="s">
        <v>3980</v>
      </c>
      <c r="C1864" s="224">
        <v>228.9</v>
      </c>
      <c r="D1864" s="224">
        <v>45335</v>
      </c>
      <c r="E1864" s="224">
        <v>7.47</v>
      </c>
      <c r="F1864" s="224"/>
      <c r="G1864" s="224"/>
      <c r="H1864" s="224"/>
      <c r="I1864" s="224" t="s">
        <v>248</v>
      </c>
      <c r="J1864" s="224"/>
    </row>
    <row r="1865" spans="1:10" s="230" customFormat="1" x14ac:dyDescent="0.25">
      <c r="A1865" s="224">
        <v>636015312</v>
      </c>
      <c r="B1865" s="229" t="s">
        <v>3981</v>
      </c>
      <c r="C1865" s="224">
        <v>180</v>
      </c>
      <c r="D1865" s="224">
        <v>23432</v>
      </c>
      <c r="E1865" s="224">
        <v>7.89</v>
      </c>
      <c r="F1865" s="224"/>
      <c r="G1865" s="224"/>
      <c r="H1865" s="224"/>
      <c r="I1865" s="224" t="s">
        <v>273</v>
      </c>
      <c r="J1865" s="224"/>
    </row>
    <row r="1866" spans="1:10" s="230" customFormat="1" x14ac:dyDescent="0.25">
      <c r="A1866" s="224">
        <v>525901099</v>
      </c>
      <c r="B1866" s="229" t="s">
        <v>3982</v>
      </c>
      <c r="C1866" s="224" t="s">
        <v>746</v>
      </c>
      <c r="D1866" s="224" t="s">
        <v>3047</v>
      </c>
      <c r="E1866" s="224" t="s">
        <v>436</v>
      </c>
      <c r="F1866" s="224"/>
      <c r="G1866" s="224"/>
      <c r="H1866" s="224"/>
      <c r="I1866" s="224" t="s">
        <v>262</v>
      </c>
      <c r="J1866" s="224"/>
    </row>
    <row r="1867" spans="1:10" s="230" customFormat="1" x14ac:dyDescent="0.25">
      <c r="A1867" s="224">
        <v>525015518</v>
      </c>
      <c r="B1867" s="229" t="s">
        <v>3983</v>
      </c>
      <c r="C1867" s="224" t="s">
        <v>3984</v>
      </c>
      <c r="D1867" s="224" t="s">
        <v>3985</v>
      </c>
      <c r="E1867" s="224" t="s">
        <v>243</v>
      </c>
      <c r="F1867" s="224"/>
      <c r="G1867" s="224"/>
      <c r="H1867" s="224"/>
      <c r="I1867" s="224" t="s">
        <v>1448</v>
      </c>
      <c r="J1867" s="224"/>
    </row>
    <row r="1868" spans="1:10" s="230" customFormat="1" x14ac:dyDescent="0.25">
      <c r="A1868" s="224">
        <v>525100097</v>
      </c>
      <c r="B1868" s="229" t="s">
        <v>103</v>
      </c>
      <c r="C1868" s="224">
        <v>50.5</v>
      </c>
      <c r="D1868" s="224">
        <v>883</v>
      </c>
      <c r="E1868" s="224">
        <v>3</v>
      </c>
      <c r="F1868" s="224"/>
      <c r="G1868" s="224"/>
      <c r="H1868" s="224"/>
      <c r="I1868" s="224" t="s">
        <v>3986</v>
      </c>
      <c r="J1868" s="224"/>
    </row>
    <row r="1869" spans="1:10" s="230" customFormat="1" x14ac:dyDescent="0.25">
      <c r="A1869" s="224">
        <v>525300571</v>
      </c>
      <c r="B1869" s="229" t="s">
        <v>3987</v>
      </c>
      <c r="C1869" s="224" t="s">
        <v>3988</v>
      </c>
      <c r="D1869" s="224" t="s">
        <v>3989</v>
      </c>
      <c r="E1869" s="224" t="s">
        <v>3990</v>
      </c>
      <c r="F1869" s="224"/>
      <c r="G1869" s="224"/>
      <c r="H1869" s="224"/>
      <c r="I1869" s="224" t="s">
        <v>46</v>
      </c>
      <c r="J1869" s="224"/>
    </row>
    <row r="1870" spans="1:10" s="230" customFormat="1" x14ac:dyDescent="0.25">
      <c r="A1870" s="224">
        <v>525018469</v>
      </c>
      <c r="B1870" s="229" t="s">
        <v>3991</v>
      </c>
      <c r="C1870" s="224" t="s">
        <v>3992</v>
      </c>
      <c r="D1870" s="224" t="s">
        <v>3134</v>
      </c>
      <c r="E1870" s="224" t="s">
        <v>3993</v>
      </c>
      <c r="F1870" s="224"/>
      <c r="G1870" s="224"/>
      <c r="H1870" s="224"/>
      <c r="I1870" s="224" t="s">
        <v>3994</v>
      </c>
      <c r="J1870" s="224"/>
    </row>
    <row r="1871" spans="1:10" s="230" customFormat="1" x14ac:dyDescent="0.25">
      <c r="A1871" s="224">
        <v>538009352</v>
      </c>
      <c r="B1871" s="229" t="s">
        <v>3995</v>
      </c>
      <c r="C1871" s="224">
        <v>199.19</v>
      </c>
      <c r="D1871" s="224">
        <v>35846</v>
      </c>
      <c r="E1871" s="224">
        <v>10.199999999999999</v>
      </c>
      <c r="F1871" s="224"/>
      <c r="G1871" s="224"/>
      <c r="H1871" s="224"/>
      <c r="I1871" s="224" t="s">
        <v>2141</v>
      </c>
      <c r="J1871" s="224"/>
    </row>
    <row r="1872" spans="1:10" s="230" customFormat="1" x14ac:dyDescent="0.25">
      <c r="A1872" s="224">
        <v>525200408</v>
      </c>
      <c r="B1872" s="229" t="s">
        <v>3996</v>
      </c>
      <c r="C1872" s="224" t="s">
        <v>3997</v>
      </c>
      <c r="D1872" s="224" t="s">
        <v>3733</v>
      </c>
      <c r="E1872" s="224" t="s">
        <v>1800</v>
      </c>
      <c r="F1872" s="224"/>
      <c r="G1872" s="224"/>
      <c r="H1872" s="224"/>
      <c r="I1872" s="224" t="s">
        <v>1870</v>
      </c>
      <c r="J1872" s="224"/>
    </row>
    <row r="1873" spans="1:10" s="230" customFormat="1" x14ac:dyDescent="0.25">
      <c r="A1873" s="224">
        <v>538011596</v>
      </c>
      <c r="B1873" s="229" t="s">
        <v>3998</v>
      </c>
      <c r="C1873" s="224">
        <v>149.80000000000001</v>
      </c>
      <c r="D1873" s="224">
        <v>11952</v>
      </c>
      <c r="E1873" s="224">
        <v>7.8</v>
      </c>
      <c r="F1873" s="224"/>
      <c r="G1873" s="224"/>
      <c r="H1873" s="224"/>
      <c r="I1873" s="224" t="s">
        <v>1895</v>
      </c>
      <c r="J1873" s="224"/>
    </row>
    <row r="1874" spans="1:10" s="230" customFormat="1" x14ac:dyDescent="0.25">
      <c r="A1874" s="224">
        <v>525022125</v>
      </c>
      <c r="B1874" s="229" t="s">
        <v>3999</v>
      </c>
      <c r="C1874" s="224" t="s">
        <v>4000</v>
      </c>
      <c r="D1874" s="224" t="s">
        <v>4001</v>
      </c>
      <c r="E1874" s="224" t="s">
        <v>4002</v>
      </c>
      <c r="F1874" s="224"/>
      <c r="G1874" s="224"/>
      <c r="H1874" s="224"/>
      <c r="I1874" s="224" t="s">
        <v>39</v>
      </c>
      <c r="J1874" s="224"/>
    </row>
    <row r="1875" spans="1:10" s="230" customFormat="1" x14ac:dyDescent="0.25">
      <c r="A1875" s="224">
        <v>525117028</v>
      </c>
      <c r="B1875" s="229" t="s">
        <v>4003</v>
      </c>
      <c r="C1875" s="224" t="s">
        <v>4004</v>
      </c>
      <c r="D1875" s="224" t="s">
        <v>4005</v>
      </c>
      <c r="E1875" s="224" t="s">
        <v>436</v>
      </c>
      <c r="F1875" s="224"/>
      <c r="G1875" s="224"/>
      <c r="H1875" s="224"/>
      <c r="I1875" s="224" t="s">
        <v>249</v>
      </c>
      <c r="J1875" s="224"/>
    </row>
    <row r="1876" spans="1:10" s="230" customFormat="1" x14ac:dyDescent="0.25">
      <c r="A1876" s="224">
        <v>525301555</v>
      </c>
      <c r="B1876" s="229" t="s">
        <v>4006</v>
      </c>
      <c r="C1876" s="224" t="s">
        <v>4007</v>
      </c>
      <c r="D1876" s="224" t="s">
        <v>3057</v>
      </c>
      <c r="E1876" s="224" t="s">
        <v>4008</v>
      </c>
      <c r="F1876" s="224"/>
      <c r="G1876" s="224"/>
      <c r="H1876" s="224"/>
      <c r="I1876" s="224" t="s">
        <v>92</v>
      </c>
      <c r="J1876" s="224"/>
    </row>
    <row r="1877" spans="1:10" s="230" customFormat="1" x14ac:dyDescent="0.25">
      <c r="A1877" s="224">
        <v>525300284</v>
      </c>
      <c r="B1877" s="229" t="s">
        <v>4009</v>
      </c>
      <c r="C1877" s="224" t="s">
        <v>4010</v>
      </c>
      <c r="D1877" s="224" t="s">
        <v>4011</v>
      </c>
      <c r="E1877" s="224" t="s">
        <v>4012</v>
      </c>
      <c r="F1877" s="224"/>
      <c r="G1877" s="224"/>
      <c r="H1877" s="224"/>
      <c r="I1877" s="224" t="s">
        <v>39</v>
      </c>
      <c r="J1877" s="224"/>
    </row>
    <row r="1878" spans="1:10" s="230" customFormat="1" x14ac:dyDescent="0.25">
      <c r="A1878" s="224">
        <v>413373690</v>
      </c>
      <c r="B1878" s="229" t="s">
        <v>4013</v>
      </c>
      <c r="C1878" s="224">
        <v>115</v>
      </c>
      <c r="D1878" s="224">
        <v>5163</v>
      </c>
      <c r="E1878" s="224">
        <v>5.2</v>
      </c>
      <c r="F1878" s="224"/>
      <c r="G1878" s="224"/>
      <c r="H1878" s="224"/>
      <c r="I1878" s="224" t="s">
        <v>1895</v>
      </c>
      <c r="J1878" s="224"/>
    </row>
    <row r="1879" spans="1:10" s="230" customFormat="1" x14ac:dyDescent="0.25">
      <c r="A1879" s="224">
        <v>525009169</v>
      </c>
      <c r="B1879" s="229" t="s">
        <v>4014</v>
      </c>
      <c r="C1879" s="224" t="s">
        <v>667</v>
      </c>
      <c r="D1879" s="224" t="s">
        <v>4015</v>
      </c>
      <c r="E1879" s="224" t="s">
        <v>4016</v>
      </c>
      <c r="F1879" s="224"/>
      <c r="G1879" s="224"/>
      <c r="H1879" s="224"/>
      <c r="I1879" s="224" t="s">
        <v>41</v>
      </c>
      <c r="J1879" s="224"/>
    </row>
    <row r="1880" spans="1:10" s="230" customFormat="1" x14ac:dyDescent="0.25">
      <c r="A1880" s="224">
        <v>525801538</v>
      </c>
      <c r="B1880" s="229" t="s">
        <v>4017</v>
      </c>
      <c r="C1880" s="224" t="s">
        <v>4018</v>
      </c>
      <c r="D1880" s="224" t="s">
        <v>4019</v>
      </c>
      <c r="E1880" s="224" t="s">
        <v>4020</v>
      </c>
      <c r="F1880" s="224"/>
      <c r="G1880" s="224"/>
      <c r="H1880" s="224"/>
      <c r="I1880" s="224" t="s">
        <v>39</v>
      </c>
      <c r="J1880" s="224"/>
    </row>
    <row r="1881" spans="1:10" s="230" customFormat="1" x14ac:dyDescent="0.25">
      <c r="A1881" s="224">
        <v>525200350</v>
      </c>
      <c r="B1881" s="229" t="s">
        <v>4021</v>
      </c>
      <c r="C1881" s="224" t="s">
        <v>4022</v>
      </c>
      <c r="D1881" s="224" t="s">
        <v>2670</v>
      </c>
      <c r="E1881" s="224" t="s">
        <v>4023</v>
      </c>
      <c r="F1881" s="224"/>
      <c r="G1881" s="224"/>
      <c r="H1881" s="224"/>
      <c r="I1881" s="224" t="s">
        <v>3038</v>
      </c>
      <c r="J1881" s="224"/>
    </row>
    <row r="1882" spans="1:10" s="230" customFormat="1" x14ac:dyDescent="0.25">
      <c r="A1882" s="224">
        <v>413375470</v>
      </c>
      <c r="B1882" s="229" t="s">
        <v>4024</v>
      </c>
      <c r="C1882" s="224">
        <v>132</v>
      </c>
      <c r="D1882" s="224">
        <v>7041</v>
      </c>
      <c r="E1882" s="224">
        <v>6</v>
      </c>
      <c r="F1882" s="224"/>
      <c r="G1882" s="224"/>
      <c r="H1882" s="224"/>
      <c r="I1882" s="224" t="s">
        <v>1895</v>
      </c>
      <c r="J1882" s="224"/>
    </row>
    <row r="1883" spans="1:10" s="230" customFormat="1" x14ac:dyDescent="0.25">
      <c r="A1883" s="224">
        <v>525400548</v>
      </c>
      <c r="B1883" s="229" t="s">
        <v>4025</v>
      </c>
      <c r="C1883" s="224" t="s">
        <v>4026</v>
      </c>
      <c r="D1883" s="224" t="s">
        <v>3228</v>
      </c>
      <c r="E1883" s="224" t="s">
        <v>4027</v>
      </c>
      <c r="F1883" s="224"/>
      <c r="G1883" s="224"/>
      <c r="H1883" s="224"/>
      <c r="I1883" s="224" t="s">
        <v>1534</v>
      </c>
      <c r="J1883" s="224"/>
    </row>
    <row r="1884" spans="1:10" s="230" customFormat="1" x14ac:dyDescent="0.25">
      <c r="A1884" s="224">
        <v>636013117</v>
      </c>
      <c r="B1884" s="229" t="s">
        <v>4028</v>
      </c>
      <c r="C1884" s="224">
        <v>183</v>
      </c>
      <c r="D1884" s="224">
        <v>27916</v>
      </c>
      <c r="E1884" s="224">
        <v>7</v>
      </c>
      <c r="F1884" s="224"/>
      <c r="G1884" s="224"/>
      <c r="H1884" s="224"/>
      <c r="I1884" s="224" t="s">
        <v>160</v>
      </c>
      <c r="J1884" s="224"/>
    </row>
    <row r="1885" spans="1:10" s="230" customFormat="1" x14ac:dyDescent="0.25">
      <c r="A1885" s="224">
        <v>525023349</v>
      </c>
      <c r="B1885" s="229" t="s">
        <v>4029</v>
      </c>
      <c r="C1885" s="224" t="s">
        <v>4030</v>
      </c>
      <c r="D1885" s="224" t="s">
        <v>1665</v>
      </c>
      <c r="E1885" s="224" t="s">
        <v>576</v>
      </c>
      <c r="F1885" s="224"/>
      <c r="G1885" s="224"/>
      <c r="H1885" s="224"/>
      <c r="I1885" s="224" t="s">
        <v>46</v>
      </c>
      <c r="J1885" s="224"/>
    </row>
    <row r="1886" spans="1:10" s="230" customFormat="1" x14ac:dyDescent="0.25">
      <c r="A1886" s="224">
        <v>372777000</v>
      </c>
      <c r="B1886" s="229" t="s">
        <v>4031</v>
      </c>
      <c r="C1886" s="224">
        <v>183</v>
      </c>
      <c r="D1886" s="224">
        <v>30042</v>
      </c>
      <c r="E1886" s="224">
        <v>7.2</v>
      </c>
      <c r="F1886" s="224"/>
      <c r="G1886" s="224"/>
      <c r="H1886" s="224"/>
      <c r="I1886" s="224" t="s">
        <v>1895</v>
      </c>
      <c r="J1886" s="224"/>
    </row>
    <row r="1887" spans="1:10" s="230" customFormat="1" x14ac:dyDescent="0.25">
      <c r="A1887" s="224">
        <v>525023370</v>
      </c>
      <c r="B1887" s="229" t="s">
        <v>4032</v>
      </c>
      <c r="C1887" s="224" t="s">
        <v>4033</v>
      </c>
      <c r="D1887" s="224" t="s">
        <v>4034</v>
      </c>
      <c r="E1887" s="224" t="s">
        <v>4035</v>
      </c>
      <c r="F1887" s="224"/>
      <c r="G1887" s="224"/>
      <c r="H1887" s="224"/>
      <c r="I1887" s="224" t="s">
        <v>46</v>
      </c>
      <c r="J1887" s="224"/>
    </row>
    <row r="1888" spans="1:10" s="230" customFormat="1" x14ac:dyDescent="0.25">
      <c r="A1888" s="224">
        <v>525301520</v>
      </c>
      <c r="B1888" s="229" t="s">
        <v>4036</v>
      </c>
      <c r="C1888" s="224" t="s">
        <v>2892</v>
      </c>
      <c r="D1888" s="224" t="s">
        <v>3085</v>
      </c>
      <c r="E1888" s="224" t="s">
        <v>383</v>
      </c>
      <c r="F1888" s="224"/>
      <c r="G1888" s="224"/>
      <c r="H1888" s="224"/>
      <c r="I1888" s="224" t="s">
        <v>71</v>
      </c>
      <c r="J1888" s="224"/>
    </row>
    <row r="1889" spans="1:10" s="230" customFormat="1" x14ac:dyDescent="0.25">
      <c r="A1889" s="224">
        <v>219388000</v>
      </c>
      <c r="B1889" s="229" t="s">
        <v>4037</v>
      </c>
      <c r="C1889" s="224">
        <v>183</v>
      </c>
      <c r="D1889" s="224">
        <v>29816</v>
      </c>
      <c r="E1889" s="224">
        <v>8.3000000000000007</v>
      </c>
      <c r="F1889" s="224"/>
      <c r="G1889" s="224"/>
      <c r="H1889" s="224"/>
      <c r="I1889" s="224" t="s">
        <v>160</v>
      </c>
      <c r="J1889" s="224"/>
    </row>
    <row r="1890" spans="1:10" s="230" customFormat="1" x14ac:dyDescent="0.25">
      <c r="A1890" s="224">
        <v>374666000</v>
      </c>
      <c r="B1890" s="229" t="s">
        <v>4038</v>
      </c>
      <c r="C1890" s="224">
        <v>89.88</v>
      </c>
      <c r="D1890" s="224">
        <v>2999</v>
      </c>
      <c r="E1890" s="224">
        <v>5.8</v>
      </c>
      <c r="F1890" s="224"/>
      <c r="G1890" s="224"/>
      <c r="H1890" s="224"/>
      <c r="I1890" s="224" t="s">
        <v>1976</v>
      </c>
      <c r="J1890" s="224"/>
    </row>
    <row r="1891" spans="1:10" s="230" customFormat="1" x14ac:dyDescent="0.25">
      <c r="A1891" s="224">
        <v>525400741</v>
      </c>
      <c r="B1891" s="229" t="s">
        <v>4039</v>
      </c>
      <c r="C1891" s="224" t="s">
        <v>495</v>
      </c>
      <c r="D1891" s="224" t="s">
        <v>4040</v>
      </c>
      <c r="E1891" s="224" t="s">
        <v>4041</v>
      </c>
      <c r="F1891" s="224"/>
      <c r="G1891" s="224"/>
      <c r="H1891" s="224"/>
      <c r="I1891" s="224" t="s">
        <v>4042</v>
      </c>
      <c r="J1891" s="224"/>
    </row>
    <row r="1892" spans="1:10" s="230" customFormat="1" x14ac:dyDescent="0.25">
      <c r="A1892" s="224">
        <v>538008208</v>
      </c>
      <c r="B1892" s="229" t="s">
        <v>4043</v>
      </c>
      <c r="C1892" s="224">
        <v>199.99</v>
      </c>
      <c r="D1892" s="224">
        <v>35812</v>
      </c>
      <c r="E1892" s="224">
        <v>10</v>
      </c>
      <c r="F1892" s="224"/>
      <c r="G1892" s="224"/>
      <c r="H1892" s="224"/>
      <c r="I1892" s="224" t="s">
        <v>1895</v>
      </c>
      <c r="J1892" s="224"/>
    </row>
    <row r="1893" spans="1:10" s="230" customFormat="1" x14ac:dyDescent="0.25">
      <c r="A1893" s="224">
        <v>538005776</v>
      </c>
      <c r="B1893" s="229" t="s">
        <v>4044</v>
      </c>
      <c r="C1893" s="224">
        <v>184</v>
      </c>
      <c r="D1893" s="224">
        <v>23676</v>
      </c>
      <c r="E1893" s="224">
        <v>7</v>
      </c>
      <c r="F1893" s="224"/>
      <c r="G1893" s="224"/>
      <c r="H1893" s="224"/>
      <c r="I1893" s="224" t="s">
        <v>817</v>
      </c>
      <c r="J1893" s="224"/>
    </row>
    <row r="1894" spans="1:10" s="230" customFormat="1" x14ac:dyDescent="0.25">
      <c r="A1894" s="224">
        <v>525501850</v>
      </c>
      <c r="B1894" s="229" t="s">
        <v>4045</v>
      </c>
      <c r="C1894" s="224" t="s">
        <v>4046</v>
      </c>
      <c r="D1894" s="224" t="s">
        <v>4047</v>
      </c>
      <c r="E1894" s="224" t="s">
        <v>4048</v>
      </c>
      <c r="F1894" s="224"/>
      <c r="G1894" s="224"/>
      <c r="H1894" s="224"/>
      <c r="I1894" s="224" t="s">
        <v>39</v>
      </c>
      <c r="J1894" s="224"/>
    </row>
    <row r="1895" spans="1:10" s="230" customFormat="1" x14ac:dyDescent="0.25">
      <c r="A1895" s="224">
        <v>525601003</v>
      </c>
      <c r="B1895" s="229" t="s">
        <v>4049</v>
      </c>
      <c r="C1895" s="224" t="s">
        <v>905</v>
      </c>
      <c r="D1895" s="224" t="s">
        <v>992</v>
      </c>
      <c r="E1895" s="224" t="s">
        <v>1685</v>
      </c>
      <c r="F1895" s="224"/>
      <c r="G1895" s="224"/>
      <c r="H1895" s="224"/>
      <c r="I1895" s="224" t="s">
        <v>46</v>
      </c>
      <c r="J1895" s="224"/>
    </row>
    <row r="1896" spans="1:10" s="230" customFormat="1" x14ac:dyDescent="0.25">
      <c r="A1896" s="224">
        <v>525500009</v>
      </c>
      <c r="B1896" s="229" t="s">
        <v>4050</v>
      </c>
      <c r="C1896" s="224" t="s">
        <v>4051</v>
      </c>
      <c r="D1896" s="224" t="s">
        <v>3310</v>
      </c>
      <c r="E1896" s="224" t="s">
        <v>4052</v>
      </c>
      <c r="F1896" s="224"/>
      <c r="G1896" s="224"/>
      <c r="H1896" s="224"/>
      <c r="I1896" s="224" t="s">
        <v>39</v>
      </c>
      <c r="J1896" s="224"/>
    </row>
    <row r="1897" spans="1:10" s="230" customFormat="1" x14ac:dyDescent="0.25">
      <c r="A1897" s="224">
        <v>525401650</v>
      </c>
      <c r="B1897" s="229" t="s">
        <v>4053</v>
      </c>
      <c r="C1897" s="224" t="s">
        <v>4054</v>
      </c>
      <c r="D1897" s="224" t="s">
        <v>4055</v>
      </c>
      <c r="E1897" s="224" t="s">
        <v>2244</v>
      </c>
      <c r="F1897" s="224"/>
      <c r="G1897" s="224"/>
      <c r="H1897" s="224"/>
      <c r="I1897" s="224" t="s">
        <v>262</v>
      </c>
      <c r="J1897" s="224"/>
    </row>
    <row r="1898" spans="1:10" s="230" customFormat="1" x14ac:dyDescent="0.25">
      <c r="A1898" s="224">
        <v>525401580</v>
      </c>
      <c r="B1898" s="229" t="s">
        <v>4056</v>
      </c>
      <c r="C1898" s="224" t="s">
        <v>2313</v>
      </c>
      <c r="D1898" s="224" t="s">
        <v>3758</v>
      </c>
      <c r="E1898" s="224" t="s">
        <v>4057</v>
      </c>
      <c r="F1898" s="224"/>
      <c r="G1898" s="224"/>
      <c r="H1898" s="224"/>
      <c r="I1898" s="224" t="s">
        <v>3562</v>
      </c>
      <c r="J1898" s="224"/>
    </row>
    <row r="1899" spans="1:10" s="230" customFormat="1" x14ac:dyDescent="0.25">
      <c r="A1899" s="224">
        <v>419001940</v>
      </c>
      <c r="B1899" s="229" t="s">
        <v>4058</v>
      </c>
      <c r="C1899" s="224">
        <v>183</v>
      </c>
      <c r="D1899" s="224">
        <v>29708</v>
      </c>
      <c r="E1899" s="224">
        <v>8.5</v>
      </c>
      <c r="F1899" s="224"/>
      <c r="G1899" s="224"/>
      <c r="H1899" s="224"/>
      <c r="I1899" s="224"/>
      <c r="J1899" s="224"/>
    </row>
    <row r="1900" spans="1:10" s="230" customFormat="1" x14ac:dyDescent="0.25">
      <c r="A1900" s="224">
        <v>525601737</v>
      </c>
      <c r="B1900" s="229" t="s">
        <v>4059</v>
      </c>
      <c r="C1900" s="224" t="s">
        <v>4060</v>
      </c>
      <c r="D1900" s="224" t="s">
        <v>4061</v>
      </c>
      <c r="E1900" s="224" t="s">
        <v>4062</v>
      </c>
      <c r="F1900" s="224"/>
      <c r="G1900" s="224"/>
      <c r="H1900" s="224"/>
      <c r="I1900" s="224" t="s">
        <v>46</v>
      </c>
      <c r="J1900" s="224"/>
    </row>
    <row r="1901" spans="1:10" s="230" customFormat="1" x14ac:dyDescent="0.25">
      <c r="A1901" s="224">
        <v>352004825</v>
      </c>
      <c r="B1901" s="229" t="s">
        <v>4063</v>
      </c>
      <c r="C1901" s="224">
        <v>155</v>
      </c>
      <c r="D1901" s="224">
        <v>13851</v>
      </c>
      <c r="E1901" s="224">
        <v>8.6999999999999993</v>
      </c>
      <c r="F1901" s="224"/>
      <c r="G1901" s="224"/>
      <c r="H1901" s="224"/>
      <c r="I1901" s="224" t="s">
        <v>262</v>
      </c>
      <c r="J1901" s="224"/>
    </row>
    <row r="1902" spans="1:10" s="230" customFormat="1" x14ac:dyDescent="0.25">
      <c r="A1902" s="224">
        <v>356777000</v>
      </c>
      <c r="B1902" s="229" t="s">
        <v>4064</v>
      </c>
      <c r="C1902" s="224">
        <v>200</v>
      </c>
      <c r="D1902" s="224">
        <v>34794</v>
      </c>
      <c r="E1902" s="224">
        <v>13.3</v>
      </c>
      <c r="F1902" s="224"/>
      <c r="G1902" s="224"/>
      <c r="H1902" s="224"/>
      <c r="I1902" s="224"/>
      <c r="J1902" s="224"/>
    </row>
    <row r="1903" spans="1:10" s="230" customFormat="1" x14ac:dyDescent="0.25">
      <c r="A1903" s="224">
        <v>636019321</v>
      </c>
      <c r="B1903" s="229" t="s">
        <v>4065</v>
      </c>
      <c r="C1903" s="224">
        <v>229</v>
      </c>
      <c r="D1903" s="224">
        <v>44109</v>
      </c>
      <c r="E1903" s="224">
        <v>7.7</v>
      </c>
      <c r="F1903" s="224"/>
      <c r="G1903" s="224"/>
      <c r="H1903" s="224"/>
      <c r="I1903" s="224" t="s">
        <v>248</v>
      </c>
      <c r="J1903" s="224"/>
    </row>
    <row r="1904" spans="1:10" s="230" customFormat="1" x14ac:dyDescent="0.25">
      <c r="A1904" s="224">
        <v>413542860</v>
      </c>
      <c r="B1904" s="229" t="s">
        <v>4066</v>
      </c>
      <c r="C1904" s="224">
        <v>113</v>
      </c>
      <c r="D1904" s="224">
        <v>5990</v>
      </c>
      <c r="E1904" s="224">
        <v>7.2</v>
      </c>
      <c r="F1904" s="224"/>
      <c r="G1904" s="224"/>
      <c r="H1904" s="224"/>
      <c r="I1904" s="224"/>
      <c r="J1904" s="224"/>
    </row>
    <row r="1905" spans="1:10" s="230" customFormat="1" x14ac:dyDescent="0.25">
      <c r="A1905" s="224">
        <v>525003619</v>
      </c>
      <c r="B1905" s="229" t="s">
        <v>4067</v>
      </c>
      <c r="C1905" s="224" t="s">
        <v>4068</v>
      </c>
      <c r="D1905" s="224" t="s">
        <v>3432</v>
      </c>
      <c r="E1905" s="224" t="s">
        <v>4069</v>
      </c>
      <c r="F1905" s="224"/>
      <c r="G1905" s="224"/>
      <c r="H1905" s="224"/>
      <c r="I1905" s="224" t="s">
        <v>1432</v>
      </c>
      <c r="J1905" s="224"/>
    </row>
    <row r="1906" spans="1:10" s="230" customFormat="1" x14ac:dyDescent="0.25">
      <c r="A1906" s="224">
        <v>525901284</v>
      </c>
      <c r="B1906" s="229" t="s">
        <v>4070</v>
      </c>
      <c r="C1906" s="224" t="s">
        <v>4071</v>
      </c>
      <c r="D1906" s="224" t="s">
        <v>4072</v>
      </c>
      <c r="E1906" s="224" t="s">
        <v>2152</v>
      </c>
      <c r="F1906" s="224"/>
      <c r="G1906" s="224"/>
      <c r="H1906" s="224"/>
      <c r="I1906" s="224" t="s">
        <v>245</v>
      </c>
      <c r="J1906" s="224"/>
    </row>
    <row r="1907" spans="1:10" s="230" customFormat="1" x14ac:dyDescent="0.25">
      <c r="A1907" s="224">
        <v>525201067</v>
      </c>
      <c r="B1907" s="229" t="s">
        <v>4073</v>
      </c>
      <c r="C1907" s="224" t="s">
        <v>554</v>
      </c>
      <c r="D1907" s="224" t="s">
        <v>4074</v>
      </c>
      <c r="E1907" s="224" t="s">
        <v>1565</v>
      </c>
      <c r="F1907" s="224"/>
      <c r="G1907" s="224"/>
      <c r="H1907" s="224"/>
      <c r="I1907" s="224" t="s">
        <v>4075</v>
      </c>
      <c r="J1907" s="224"/>
    </row>
    <row r="1908" spans="1:10" s="230" customFormat="1" x14ac:dyDescent="0.25">
      <c r="A1908" s="224">
        <v>525501516</v>
      </c>
      <c r="B1908" s="229" t="s">
        <v>4076</v>
      </c>
      <c r="C1908" s="224" t="s">
        <v>4077</v>
      </c>
      <c r="D1908" s="224" t="s">
        <v>4078</v>
      </c>
      <c r="E1908" s="224" t="s">
        <v>4079</v>
      </c>
      <c r="F1908" s="224"/>
      <c r="G1908" s="224"/>
      <c r="H1908" s="224"/>
      <c r="I1908" s="224"/>
      <c r="J1908" s="224"/>
    </row>
    <row r="1909" spans="1:10" s="230" customFormat="1" x14ac:dyDescent="0.25">
      <c r="A1909" s="224">
        <v>525801524</v>
      </c>
      <c r="B1909" s="229" t="s">
        <v>4080</v>
      </c>
      <c r="C1909" s="224" t="s">
        <v>4081</v>
      </c>
      <c r="D1909" s="224" t="s">
        <v>4082</v>
      </c>
      <c r="E1909" s="224" t="s">
        <v>4083</v>
      </c>
      <c r="F1909" s="224"/>
      <c r="G1909" s="224"/>
      <c r="H1909" s="224"/>
      <c r="I1909" s="224"/>
      <c r="J1909" s="224"/>
    </row>
    <row r="1910" spans="1:10" s="230" customFormat="1" x14ac:dyDescent="0.25">
      <c r="A1910" s="224">
        <v>440417000</v>
      </c>
      <c r="B1910" s="229" t="s">
        <v>4084</v>
      </c>
      <c r="C1910" s="224">
        <v>229</v>
      </c>
      <c r="D1910" s="224">
        <v>43956</v>
      </c>
      <c r="E1910" s="224" t="s">
        <v>4085</v>
      </c>
      <c r="F1910" s="224"/>
      <c r="G1910" s="224"/>
      <c r="H1910" s="224"/>
      <c r="I1910" s="224" t="s">
        <v>4086</v>
      </c>
      <c r="J1910" s="224"/>
    </row>
    <row r="1911" spans="1:10" s="230" customFormat="1" x14ac:dyDescent="0.25">
      <c r="A1911" s="224">
        <v>525015413</v>
      </c>
      <c r="B1911" s="229" t="s">
        <v>4087</v>
      </c>
      <c r="C1911" s="224">
        <v>34.700000000000003</v>
      </c>
      <c r="D1911" s="224">
        <v>310</v>
      </c>
      <c r="E1911" s="224">
        <v>4.5</v>
      </c>
      <c r="F1911" s="224"/>
      <c r="G1911" s="224"/>
      <c r="H1911" s="224"/>
      <c r="I1911" s="224" t="s">
        <v>892</v>
      </c>
      <c r="J1911" s="224"/>
    </row>
    <row r="1912" spans="1:10" s="230" customFormat="1" x14ac:dyDescent="0.25">
      <c r="A1912" s="224">
        <v>525300017</v>
      </c>
      <c r="B1912" s="229" t="s">
        <v>4088</v>
      </c>
      <c r="C1912" s="224" t="s">
        <v>375</v>
      </c>
      <c r="D1912" s="224" t="s">
        <v>3158</v>
      </c>
      <c r="E1912" s="224" t="s">
        <v>1195</v>
      </c>
      <c r="F1912" s="224"/>
      <c r="G1912" s="224"/>
      <c r="H1912" s="224"/>
      <c r="I1912" s="224" t="s">
        <v>3038</v>
      </c>
      <c r="J1912" s="224"/>
    </row>
    <row r="1913" spans="1:10" s="230" customFormat="1" x14ac:dyDescent="0.25">
      <c r="A1913" s="224">
        <v>352005142</v>
      </c>
      <c r="B1913" s="229" t="s">
        <v>4089</v>
      </c>
      <c r="C1913" s="224">
        <v>199</v>
      </c>
      <c r="D1913" s="224">
        <v>36457</v>
      </c>
      <c r="E1913" s="224" t="s">
        <v>834</v>
      </c>
      <c r="F1913" s="224"/>
      <c r="G1913" s="224"/>
      <c r="H1913" s="224"/>
      <c r="I1913" s="224" t="s">
        <v>4090</v>
      </c>
      <c r="J1913" s="224"/>
    </row>
    <row r="1914" spans="1:10" s="230" customFormat="1" x14ac:dyDescent="0.25">
      <c r="A1914" s="224">
        <v>525024335</v>
      </c>
      <c r="B1914" s="229" t="s">
        <v>4091</v>
      </c>
      <c r="C1914" s="224" t="s">
        <v>4092</v>
      </c>
      <c r="D1914" s="224" t="s">
        <v>4093</v>
      </c>
      <c r="E1914" s="224" t="s">
        <v>4094</v>
      </c>
      <c r="F1914" s="224"/>
      <c r="G1914" s="224"/>
      <c r="H1914" s="224"/>
      <c r="I1914" s="224" t="s">
        <v>1448</v>
      </c>
      <c r="J1914" s="224"/>
    </row>
    <row r="1915" spans="1:10" s="230" customFormat="1" x14ac:dyDescent="0.25">
      <c r="A1915" s="224">
        <v>636021712</v>
      </c>
      <c r="B1915" s="229" t="s">
        <v>4095</v>
      </c>
      <c r="C1915" s="224">
        <v>134</v>
      </c>
      <c r="D1915" s="224">
        <v>9994</v>
      </c>
      <c r="E1915" s="224">
        <v>6.8</v>
      </c>
      <c r="F1915" s="224"/>
      <c r="G1915" s="224"/>
      <c r="H1915" s="224"/>
      <c r="I1915" s="224" t="s">
        <v>1895</v>
      </c>
      <c r="J1915" s="224"/>
    </row>
    <row r="1916" spans="1:10" s="230" customFormat="1" x14ac:dyDescent="0.25">
      <c r="A1916" s="224">
        <v>538009156</v>
      </c>
      <c r="B1916" s="229" t="s">
        <v>4096</v>
      </c>
      <c r="C1916" s="224">
        <v>186</v>
      </c>
      <c r="D1916" s="224">
        <v>2669</v>
      </c>
      <c r="E1916" s="224">
        <v>9.4</v>
      </c>
      <c r="F1916" s="224"/>
      <c r="G1916" s="224"/>
      <c r="H1916" s="224"/>
      <c r="I1916" s="224" t="s">
        <v>160</v>
      </c>
      <c r="J1916" s="224"/>
    </row>
    <row r="1917" spans="1:10" s="230" customFormat="1" x14ac:dyDescent="0.25">
      <c r="A1917" s="224">
        <v>525015890</v>
      </c>
      <c r="B1917" s="229" t="s">
        <v>4097</v>
      </c>
      <c r="C1917" s="224" t="s">
        <v>4098</v>
      </c>
      <c r="D1917" s="224" t="s">
        <v>4099</v>
      </c>
      <c r="E1917" s="224" t="s">
        <v>4100</v>
      </c>
      <c r="F1917" s="224"/>
      <c r="G1917" s="224"/>
      <c r="H1917" s="224"/>
      <c r="I1917" s="224" t="s">
        <v>39</v>
      </c>
      <c r="J1917" s="224"/>
    </row>
    <row r="1918" spans="1:10" s="230" customFormat="1" x14ac:dyDescent="0.25">
      <c r="A1918" s="224">
        <v>525801532</v>
      </c>
      <c r="B1918" s="229" t="s">
        <v>4101</v>
      </c>
      <c r="C1918" s="224">
        <v>96</v>
      </c>
      <c r="D1918" s="224">
        <v>3715</v>
      </c>
      <c r="E1918" s="224">
        <v>3.1</v>
      </c>
      <c r="F1918" s="224"/>
      <c r="G1918" s="224"/>
      <c r="H1918" s="224"/>
      <c r="I1918" s="224" t="s">
        <v>92</v>
      </c>
      <c r="J1918" s="224"/>
    </row>
    <row r="1919" spans="1:10" s="230" customFormat="1" x14ac:dyDescent="0.25">
      <c r="A1919" s="224">
        <v>525117029</v>
      </c>
      <c r="B1919" s="229" t="s">
        <v>4102</v>
      </c>
      <c r="C1919" s="224" t="s">
        <v>4103</v>
      </c>
      <c r="D1919" s="224" t="s">
        <v>4104</v>
      </c>
      <c r="E1919" s="224" t="s">
        <v>4105</v>
      </c>
      <c r="F1919" s="224"/>
      <c r="G1919" s="224"/>
      <c r="H1919" s="224"/>
      <c r="I1919" s="224" t="s">
        <v>46</v>
      </c>
      <c r="J1919" s="224"/>
    </row>
    <row r="1920" spans="1:10" s="230" customFormat="1" x14ac:dyDescent="0.25">
      <c r="A1920" s="224">
        <v>525500563</v>
      </c>
      <c r="B1920" s="229" t="s">
        <v>4106</v>
      </c>
      <c r="C1920" s="224" t="s">
        <v>4107</v>
      </c>
      <c r="D1920" s="224" t="s">
        <v>4108</v>
      </c>
      <c r="E1920" s="224" t="s">
        <v>1717</v>
      </c>
      <c r="F1920" s="224"/>
      <c r="G1920" s="224"/>
      <c r="H1920" s="224"/>
      <c r="I1920" s="224" t="s">
        <v>150</v>
      </c>
      <c r="J1920" s="224"/>
    </row>
    <row r="1921" spans="1:10" s="230" customFormat="1" x14ac:dyDescent="0.25">
      <c r="A1921" s="224">
        <v>525006142</v>
      </c>
      <c r="B1921" s="229" t="s">
        <v>4109</v>
      </c>
      <c r="C1921" s="224" t="s">
        <v>4110</v>
      </c>
      <c r="D1921" s="224" t="s">
        <v>4111</v>
      </c>
      <c r="E1921" s="224" t="s">
        <v>1569</v>
      </c>
      <c r="F1921" s="224"/>
      <c r="G1921" s="224"/>
      <c r="H1921" s="224"/>
      <c r="I1921" s="224" t="s">
        <v>1432</v>
      </c>
      <c r="J1921" s="224"/>
    </row>
    <row r="1922" spans="1:10" s="230" customFormat="1" x14ac:dyDescent="0.25">
      <c r="A1922" s="224">
        <v>525016325</v>
      </c>
      <c r="B1922" s="229" t="s">
        <v>4112</v>
      </c>
      <c r="C1922" s="224" t="s">
        <v>4113</v>
      </c>
      <c r="D1922" s="224" t="s">
        <v>3753</v>
      </c>
      <c r="E1922" s="224" t="s">
        <v>4114</v>
      </c>
      <c r="F1922" s="224"/>
      <c r="G1922" s="224"/>
      <c r="H1922" s="224"/>
      <c r="I1922" s="224" t="s">
        <v>46</v>
      </c>
      <c r="J1922" s="224"/>
    </row>
    <row r="1923" spans="1:10" s="230" customFormat="1" x14ac:dyDescent="0.25">
      <c r="A1923" s="224">
        <v>405000347</v>
      </c>
      <c r="B1923" s="229" t="s">
        <v>4115</v>
      </c>
      <c r="C1923" s="224">
        <v>190</v>
      </c>
      <c r="D1923" s="224">
        <v>31296</v>
      </c>
      <c r="E1923" s="224">
        <v>12.8</v>
      </c>
      <c r="F1923" s="224"/>
      <c r="G1923" s="224"/>
      <c r="H1923" s="224"/>
      <c r="I1923" s="224"/>
      <c r="J1923" s="224"/>
    </row>
    <row r="1924" spans="1:10" s="230" customFormat="1" x14ac:dyDescent="0.25">
      <c r="A1924" s="224">
        <v>525801860</v>
      </c>
      <c r="B1924" s="229" t="s">
        <v>4116</v>
      </c>
      <c r="C1924" s="224" t="s">
        <v>4117</v>
      </c>
      <c r="D1924" s="224" t="s">
        <v>3608</v>
      </c>
      <c r="E1924" s="224" t="s">
        <v>1407</v>
      </c>
      <c r="F1924" s="224"/>
      <c r="G1924" s="224"/>
      <c r="H1924" s="224"/>
      <c r="I1924" s="224"/>
      <c r="J1924" s="224"/>
    </row>
    <row r="1925" spans="1:10" s="230" customFormat="1" x14ac:dyDescent="0.25">
      <c r="A1925" s="224">
        <v>563096600</v>
      </c>
      <c r="B1925" s="229" t="s">
        <v>4118</v>
      </c>
      <c r="C1925" s="224">
        <v>183</v>
      </c>
      <c r="D1925" s="224">
        <v>29846</v>
      </c>
      <c r="E1925" s="224">
        <v>12.1</v>
      </c>
      <c r="F1925" s="224"/>
      <c r="G1925" s="224"/>
      <c r="H1925" s="224"/>
      <c r="I1925" s="224"/>
      <c r="J1925" s="224"/>
    </row>
    <row r="1926" spans="1:10" s="230" customFormat="1" x14ac:dyDescent="0.25">
      <c r="A1926" s="224">
        <v>525801879</v>
      </c>
      <c r="B1926" s="229" t="s">
        <v>4119</v>
      </c>
      <c r="C1926" s="224">
        <v>115</v>
      </c>
      <c r="D1926" s="224">
        <v>4951</v>
      </c>
      <c r="E1926" s="224">
        <v>6.9</v>
      </c>
      <c r="F1926" s="224"/>
      <c r="G1926" s="224"/>
      <c r="H1926" s="224"/>
      <c r="I1926" s="224" t="s">
        <v>1707</v>
      </c>
      <c r="J1926" s="224"/>
    </row>
    <row r="1927" spans="1:10" s="230" customFormat="1" x14ac:dyDescent="0.25">
      <c r="A1927" s="224">
        <v>622121413</v>
      </c>
      <c r="B1927" s="229" t="s">
        <v>4120</v>
      </c>
      <c r="C1927" s="224">
        <v>189</v>
      </c>
      <c r="D1927" s="224">
        <v>33295</v>
      </c>
      <c r="E1927" s="224">
        <v>13.3</v>
      </c>
      <c r="F1927" s="224"/>
      <c r="G1927" s="224"/>
      <c r="H1927" s="224"/>
      <c r="I1927" s="224" t="s">
        <v>817</v>
      </c>
      <c r="J1927" s="224"/>
    </row>
    <row r="1928" spans="1:10" s="230" customFormat="1" x14ac:dyDescent="0.25">
      <c r="A1928" s="224">
        <v>525201298</v>
      </c>
      <c r="B1928" s="229" t="s">
        <v>4121</v>
      </c>
      <c r="C1928" s="224" t="s">
        <v>4122</v>
      </c>
      <c r="D1928" s="224" t="s">
        <v>4123</v>
      </c>
      <c r="E1928" s="224" t="s">
        <v>4124</v>
      </c>
      <c r="F1928" s="224"/>
      <c r="G1928" s="224"/>
      <c r="H1928" s="224"/>
      <c r="I1928" s="224" t="s">
        <v>39</v>
      </c>
      <c r="J1928" s="224"/>
    </row>
    <row r="1929" spans="1:10" s="230" customFormat="1" x14ac:dyDescent="0.25">
      <c r="A1929" s="224">
        <v>525701284</v>
      </c>
      <c r="B1929" s="229" t="s">
        <v>4125</v>
      </c>
      <c r="C1929" s="224">
        <v>102</v>
      </c>
      <c r="D1929" s="224">
        <v>4073</v>
      </c>
      <c r="E1929" s="224">
        <v>7</v>
      </c>
      <c r="F1929" s="224"/>
      <c r="G1929" s="224"/>
      <c r="H1929" s="224"/>
      <c r="I1929" s="224"/>
      <c r="J1929" s="224"/>
    </row>
    <row r="1930" spans="1:10" s="230" customFormat="1" x14ac:dyDescent="0.25">
      <c r="A1930" s="224">
        <v>525601936</v>
      </c>
      <c r="B1930" s="229" t="s">
        <v>4126</v>
      </c>
      <c r="C1930" s="224" t="s">
        <v>2313</v>
      </c>
      <c r="D1930" s="224" t="s">
        <v>4127</v>
      </c>
      <c r="E1930" s="224" t="s">
        <v>4128</v>
      </c>
      <c r="F1930" s="224"/>
      <c r="G1930" s="224"/>
      <c r="H1930" s="224"/>
      <c r="I1930" s="224" t="s">
        <v>41</v>
      </c>
      <c r="J1930" s="224"/>
    </row>
    <row r="1931" spans="1:10" s="230" customFormat="1" x14ac:dyDescent="0.25">
      <c r="A1931" s="224">
        <v>525201828</v>
      </c>
      <c r="B1931" s="229" t="s">
        <v>4129</v>
      </c>
      <c r="C1931" s="224" t="s">
        <v>1981</v>
      </c>
      <c r="D1931" s="224" t="s">
        <v>941</v>
      </c>
      <c r="E1931" s="224" t="s">
        <v>1711</v>
      </c>
      <c r="F1931" s="224"/>
      <c r="G1931" s="224"/>
      <c r="H1931" s="224"/>
      <c r="I1931" s="224" t="s">
        <v>1870</v>
      </c>
      <c r="J1931" s="224"/>
    </row>
    <row r="1932" spans="1:10" s="230" customFormat="1" x14ac:dyDescent="0.25">
      <c r="A1932" s="224">
        <v>636024279</v>
      </c>
      <c r="B1932" s="229" t="s">
        <v>4130</v>
      </c>
      <c r="C1932" s="224">
        <v>183</v>
      </c>
      <c r="D1932" s="224">
        <v>30056</v>
      </c>
      <c r="E1932" s="224">
        <v>10.199999999999999</v>
      </c>
      <c r="F1932" s="224"/>
      <c r="G1932" s="224"/>
      <c r="H1932" s="224"/>
      <c r="I1932" s="224" t="s">
        <v>160</v>
      </c>
      <c r="J1932" s="224"/>
    </row>
    <row r="1933" spans="1:10" s="230" customFormat="1" x14ac:dyDescent="0.25">
      <c r="A1933" s="224">
        <v>525601634</v>
      </c>
      <c r="B1933" s="229" t="s">
        <v>4131</v>
      </c>
      <c r="C1933" s="224" t="s">
        <v>4132</v>
      </c>
      <c r="D1933" s="224" t="s">
        <v>4133</v>
      </c>
      <c r="E1933" s="224" t="s">
        <v>2719</v>
      </c>
      <c r="F1933" s="224"/>
      <c r="G1933" s="224"/>
      <c r="H1933" s="224"/>
      <c r="I1933" s="224" t="s">
        <v>2002</v>
      </c>
      <c r="J1933" s="224"/>
    </row>
    <row r="1934" spans="1:10" s="230" customFormat="1" x14ac:dyDescent="0.25">
      <c r="A1934" s="224">
        <v>525901015</v>
      </c>
      <c r="B1934" s="229" t="s">
        <v>4134</v>
      </c>
      <c r="C1934" s="224" t="s">
        <v>3280</v>
      </c>
      <c r="D1934" s="224" t="s">
        <v>4135</v>
      </c>
      <c r="E1934" s="224" t="s">
        <v>1747</v>
      </c>
      <c r="F1934" s="224"/>
      <c r="G1934" s="224"/>
      <c r="H1934" s="224"/>
      <c r="I1934" s="224" t="s">
        <v>41</v>
      </c>
      <c r="J1934" s="224"/>
    </row>
    <row r="1935" spans="1:10" s="230" customFormat="1" x14ac:dyDescent="0.25">
      <c r="A1935" s="224">
        <v>477792400</v>
      </c>
      <c r="B1935" s="229" t="s">
        <v>4136</v>
      </c>
      <c r="C1935" s="224">
        <v>229</v>
      </c>
      <c r="D1935" s="224">
        <v>43951</v>
      </c>
      <c r="E1935" s="224">
        <v>7.6</v>
      </c>
      <c r="F1935" s="224"/>
      <c r="G1935" s="224"/>
      <c r="H1935" s="224"/>
      <c r="I1935" s="224" t="s">
        <v>273</v>
      </c>
      <c r="J1935" s="224"/>
    </row>
    <row r="1936" spans="1:10" s="230" customFormat="1" x14ac:dyDescent="0.25">
      <c r="A1936" s="224">
        <v>525501099</v>
      </c>
      <c r="B1936" s="229" t="s">
        <v>4137</v>
      </c>
      <c r="C1936" s="224">
        <v>166</v>
      </c>
      <c r="D1936" s="224">
        <v>15823</v>
      </c>
      <c r="E1936" s="224">
        <v>10</v>
      </c>
      <c r="F1936" s="224"/>
      <c r="G1936" s="224"/>
      <c r="H1936" s="224"/>
      <c r="I1936" s="224" t="s">
        <v>1432</v>
      </c>
      <c r="J1936" s="224"/>
    </row>
    <row r="1937" spans="1:10" s="230" customFormat="1" x14ac:dyDescent="0.25">
      <c r="A1937" s="224">
        <v>525500771</v>
      </c>
      <c r="B1937" s="229" t="s">
        <v>4138</v>
      </c>
      <c r="C1937" s="224">
        <v>49</v>
      </c>
      <c r="D1937" s="224">
        <v>339</v>
      </c>
      <c r="E1937" s="224">
        <v>3.5</v>
      </c>
      <c r="F1937" s="224"/>
      <c r="G1937" s="224"/>
      <c r="H1937" s="224"/>
      <c r="I1937" s="224" t="s">
        <v>3120</v>
      </c>
      <c r="J1937" s="224"/>
    </row>
    <row r="1938" spans="1:10" s="230" customFormat="1" x14ac:dyDescent="0.25">
      <c r="A1938" s="224">
        <v>636024313</v>
      </c>
      <c r="B1938" s="229" t="s">
        <v>4139</v>
      </c>
      <c r="C1938" s="224">
        <v>183</v>
      </c>
      <c r="D1938" s="224">
        <v>29463</v>
      </c>
      <c r="E1938" s="224">
        <v>10</v>
      </c>
      <c r="F1938" s="224"/>
      <c r="G1938" s="224"/>
      <c r="H1938" s="224"/>
      <c r="I1938" s="224" t="s">
        <v>160</v>
      </c>
      <c r="J1938" s="224"/>
    </row>
    <row r="1939" spans="1:10" s="230" customFormat="1" x14ac:dyDescent="0.25">
      <c r="A1939" s="224">
        <v>368393740</v>
      </c>
      <c r="B1939" s="229" t="s">
        <v>4140</v>
      </c>
      <c r="C1939" s="224">
        <v>81</v>
      </c>
      <c r="D1939" s="224">
        <v>2409</v>
      </c>
      <c r="E1939" s="224">
        <v>5.5</v>
      </c>
      <c r="F1939" s="224"/>
      <c r="G1939" s="224"/>
      <c r="H1939" s="224"/>
      <c r="I1939" s="224" t="s">
        <v>1976</v>
      </c>
      <c r="J1939" s="224"/>
    </row>
    <row r="1940" spans="1:10" s="230" customFormat="1" x14ac:dyDescent="0.25">
      <c r="A1940" s="224">
        <v>636019548</v>
      </c>
      <c r="B1940" s="229" t="s">
        <v>4141</v>
      </c>
      <c r="C1940" s="224">
        <v>126.8</v>
      </c>
      <c r="D1940" s="224">
        <v>8050</v>
      </c>
      <c r="E1940" s="224">
        <v>5.35</v>
      </c>
      <c r="F1940" s="224"/>
      <c r="G1940" s="224"/>
      <c r="H1940" s="224"/>
      <c r="I1940" s="224" t="s">
        <v>516</v>
      </c>
      <c r="J1940" s="224"/>
    </row>
    <row r="1941" spans="1:10" s="230" customFormat="1" x14ac:dyDescent="0.25">
      <c r="A1941" s="224">
        <v>525012399</v>
      </c>
      <c r="B1941" s="229" t="s">
        <v>4142</v>
      </c>
      <c r="C1941" s="224" t="s">
        <v>4143</v>
      </c>
      <c r="D1941" s="224" t="s">
        <v>3863</v>
      </c>
      <c r="E1941" s="224" t="s">
        <v>4144</v>
      </c>
      <c r="F1941" s="224"/>
      <c r="G1941" s="224"/>
      <c r="H1941" s="224"/>
      <c r="I1941" s="224" t="s">
        <v>4145</v>
      </c>
      <c r="J1941" s="224"/>
    </row>
    <row r="1942" spans="1:10" s="230" customFormat="1" x14ac:dyDescent="0.25">
      <c r="A1942" s="224">
        <v>525019530</v>
      </c>
      <c r="B1942" s="229" t="s">
        <v>4146</v>
      </c>
      <c r="C1942" s="224">
        <v>72</v>
      </c>
      <c r="D1942" s="224">
        <v>1300</v>
      </c>
      <c r="E1942" s="224">
        <v>5</v>
      </c>
      <c r="F1942" s="224"/>
      <c r="G1942" s="224"/>
      <c r="H1942" s="224"/>
      <c r="I1942" s="224" t="s">
        <v>2398</v>
      </c>
      <c r="J1942" s="224"/>
    </row>
    <row r="1943" spans="1:10" s="230" customFormat="1" x14ac:dyDescent="0.25">
      <c r="A1943" s="224">
        <v>525901391</v>
      </c>
      <c r="B1943" s="229" t="s">
        <v>4147</v>
      </c>
      <c r="C1943" s="224" t="s">
        <v>2547</v>
      </c>
      <c r="D1943" s="224" t="s">
        <v>4148</v>
      </c>
      <c r="E1943" s="224" t="s">
        <v>436</v>
      </c>
      <c r="F1943" s="224"/>
      <c r="G1943" s="224"/>
      <c r="H1943" s="224"/>
      <c r="I1943" s="224" t="s">
        <v>1432</v>
      </c>
      <c r="J1943" s="224"/>
    </row>
    <row r="1944" spans="1:10" s="230" customFormat="1" x14ac:dyDescent="0.25">
      <c r="A1944" s="224">
        <v>352005828</v>
      </c>
      <c r="B1944" s="229" t="s">
        <v>4149</v>
      </c>
      <c r="C1944" s="224">
        <v>183</v>
      </c>
      <c r="D1944" s="224">
        <v>30131</v>
      </c>
      <c r="E1944" s="224">
        <v>8.3000000000000007</v>
      </c>
      <c r="F1944" s="224"/>
      <c r="G1944" s="224"/>
      <c r="H1944" s="224"/>
      <c r="I1944" s="224" t="s">
        <v>160</v>
      </c>
      <c r="J1944" s="224"/>
    </row>
    <row r="1945" spans="1:10" s="230" customFormat="1" x14ac:dyDescent="0.25">
      <c r="A1945" s="224">
        <v>636024232</v>
      </c>
      <c r="B1945" s="229" t="s">
        <v>4150</v>
      </c>
      <c r="C1945" s="224">
        <v>200</v>
      </c>
      <c r="D1945" s="224">
        <v>36352</v>
      </c>
      <c r="E1945" s="224">
        <v>10.199999999999999</v>
      </c>
      <c r="F1945" s="224"/>
      <c r="G1945" s="224"/>
      <c r="H1945" s="224"/>
      <c r="I1945" s="224" t="s">
        <v>4151</v>
      </c>
      <c r="J1945" s="224"/>
    </row>
    <row r="1946" spans="1:10" s="230" customFormat="1" x14ac:dyDescent="0.25">
      <c r="A1946" s="224">
        <v>405000307</v>
      </c>
      <c r="B1946" s="229" t="s">
        <v>4152</v>
      </c>
      <c r="C1946" s="224">
        <v>189</v>
      </c>
      <c r="D1946" s="224">
        <v>30816</v>
      </c>
      <c r="E1946" s="224">
        <v>12.6</v>
      </c>
      <c r="F1946" s="224"/>
      <c r="G1946" s="224"/>
      <c r="H1946" s="224"/>
      <c r="I1946" s="224"/>
      <c r="J1946" s="224"/>
    </row>
    <row r="1947" spans="1:10" s="230" customFormat="1" x14ac:dyDescent="0.25">
      <c r="A1947" s="224">
        <v>525300567</v>
      </c>
      <c r="B1947" s="229" t="s">
        <v>4153</v>
      </c>
      <c r="C1947" s="224" t="s">
        <v>4154</v>
      </c>
      <c r="D1947" s="224" t="s">
        <v>4155</v>
      </c>
      <c r="E1947" s="224" t="s">
        <v>2301</v>
      </c>
      <c r="F1947" s="224"/>
      <c r="G1947" s="224"/>
      <c r="H1947" s="224"/>
      <c r="I1947" s="224" t="s">
        <v>245</v>
      </c>
      <c r="J1947" s="224"/>
    </row>
    <row r="1948" spans="1:10" s="230" customFormat="1" x14ac:dyDescent="0.25">
      <c r="A1948" s="224">
        <v>525121085</v>
      </c>
      <c r="B1948" s="229" t="s">
        <v>4156</v>
      </c>
      <c r="C1948" s="224">
        <v>127</v>
      </c>
      <c r="D1948" s="224">
        <v>8562</v>
      </c>
      <c r="E1948" s="224">
        <v>5.4</v>
      </c>
      <c r="F1948" s="224"/>
      <c r="G1948" s="224"/>
      <c r="H1948" s="224"/>
      <c r="I1948" s="224" t="s">
        <v>1448</v>
      </c>
      <c r="J1948" s="224"/>
    </row>
    <row r="1949" spans="1:10" s="230" customFormat="1" x14ac:dyDescent="0.25">
      <c r="A1949" s="224">
        <v>567073900</v>
      </c>
      <c r="B1949" s="229" t="s">
        <v>4157</v>
      </c>
      <c r="C1949" s="224">
        <v>104</v>
      </c>
      <c r="D1949" s="224">
        <v>3559</v>
      </c>
      <c r="E1949" s="224">
        <v>6.2</v>
      </c>
      <c r="F1949" s="224"/>
      <c r="G1949" s="224"/>
      <c r="H1949" s="224"/>
      <c r="I1949" s="224" t="s">
        <v>150</v>
      </c>
      <c r="J1949" s="224"/>
    </row>
    <row r="1950" spans="1:10" s="230" customFormat="1" x14ac:dyDescent="0.25">
      <c r="A1950" s="224">
        <v>636020021</v>
      </c>
      <c r="B1950" s="229" t="s">
        <v>4158</v>
      </c>
      <c r="C1950" s="224">
        <v>182.72</v>
      </c>
      <c r="D1950" s="224">
        <v>26914</v>
      </c>
      <c r="E1950" s="224">
        <v>8.3000000000000007</v>
      </c>
      <c r="F1950" s="224"/>
      <c r="G1950" s="224"/>
      <c r="H1950" s="224"/>
      <c r="I1950" s="224" t="s">
        <v>160</v>
      </c>
      <c r="J1950" s="224"/>
    </row>
    <row r="1951" spans="1:10" s="230" customFormat="1" x14ac:dyDescent="0.25">
      <c r="A1951" s="224">
        <v>525500707</v>
      </c>
      <c r="B1951" s="229" t="s">
        <v>4159</v>
      </c>
      <c r="C1951" s="224">
        <v>70</v>
      </c>
      <c r="D1951" s="224">
        <v>910</v>
      </c>
      <c r="E1951" s="224">
        <v>3.9</v>
      </c>
      <c r="F1951" s="224"/>
      <c r="G1951" s="224"/>
      <c r="H1951" s="224"/>
      <c r="I1951" s="224" t="s">
        <v>1895</v>
      </c>
      <c r="J1951" s="224"/>
    </row>
    <row r="1952" spans="1:10" s="230" customFormat="1" x14ac:dyDescent="0.25">
      <c r="A1952" s="224">
        <v>525100156</v>
      </c>
      <c r="B1952" s="229" t="s">
        <v>4160</v>
      </c>
      <c r="C1952" s="224" t="s">
        <v>4161</v>
      </c>
      <c r="D1952" s="224" t="s">
        <v>4162</v>
      </c>
      <c r="E1952" s="224" t="s">
        <v>4163</v>
      </c>
      <c r="F1952" s="224"/>
      <c r="G1952" s="224"/>
      <c r="H1952" s="224"/>
      <c r="I1952" s="224" t="s">
        <v>39</v>
      </c>
      <c r="J1952" s="224"/>
    </row>
    <row r="1953" spans="1:10" s="230" customFormat="1" x14ac:dyDescent="0.25">
      <c r="A1953" s="224">
        <v>525003397</v>
      </c>
      <c r="B1953" s="229" t="s">
        <v>4164</v>
      </c>
      <c r="C1953" s="224" t="s">
        <v>377</v>
      </c>
      <c r="D1953" s="224" t="s">
        <v>759</v>
      </c>
      <c r="E1953" s="224" t="s">
        <v>4094</v>
      </c>
      <c r="F1953" s="224"/>
      <c r="G1953" s="224"/>
      <c r="H1953" s="224"/>
      <c r="I1953" s="224"/>
      <c r="J1953" s="224"/>
    </row>
    <row r="1954" spans="1:10" s="230" customFormat="1" x14ac:dyDescent="0.25">
      <c r="A1954" s="224">
        <v>319653000</v>
      </c>
      <c r="B1954" s="229" t="s">
        <v>4165</v>
      </c>
      <c r="C1954" s="224">
        <v>190</v>
      </c>
      <c r="D1954" s="224">
        <v>32348</v>
      </c>
      <c r="E1954" s="224">
        <v>13.2</v>
      </c>
      <c r="F1954" s="224"/>
      <c r="G1954" s="224"/>
      <c r="H1954" s="224"/>
      <c r="I1954" s="224" t="s">
        <v>154</v>
      </c>
      <c r="J1954" s="224"/>
    </row>
    <row r="1955" spans="1:10" s="230" customFormat="1" x14ac:dyDescent="0.25">
      <c r="A1955" s="224">
        <v>525012095</v>
      </c>
      <c r="B1955" s="229" t="s">
        <v>4166</v>
      </c>
      <c r="C1955" s="224">
        <v>93</v>
      </c>
      <c r="D1955" s="224">
        <v>297</v>
      </c>
      <c r="E1955" s="224">
        <v>7</v>
      </c>
      <c r="F1955" s="224"/>
      <c r="G1955" s="224"/>
      <c r="H1955" s="224"/>
      <c r="I1955" s="224" t="s">
        <v>1707</v>
      </c>
      <c r="J1955" s="224"/>
    </row>
    <row r="1956" spans="1:10" s="230" customFormat="1" x14ac:dyDescent="0.25">
      <c r="A1956" s="224">
        <v>414782000</v>
      </c>
      <c r="B1956" s="229" t="s">
        <v>4167</v>
      </c>
      <c r="C1956" s="224">
        <v>189</v>
      </c>
      <c r="D1956" s="224">
        <v>28780</v>
      </c>
      <c r="E1956" s="224">
        <v>6.3</v>
      </c>
      <c r="F1956" s="224"/>
      <c r="G1956" s="224"/>
      <c r="H1956" s="224"/>
      <c r="I1956" s="224" t="s">
        <v>154</v>
      </c>
      <c r="J1956" s="224"/>
    </row>
    <row r="1957" spans="1:10" s="230" customFormat="1" x14ac:dyDescent="0.25">
      <c r="A1957" s="224">
        <v>525701306</v>
      </c>
      <c r="B1957" s="229" t="s">
        <v>4168</v>
      </c>
      <c r="C1957" s="224">
        <v>45</v>
      </c>
      <c r="D1957" s="224">
        <v>380</v>
      </c>
      <c r="E1957" s="224">
        <v>2.5</v>
      </c>
      <c r="F1957" s="224"/>
      <c r="G1957" s="224"/>
      <c r="H1957" s="224"/>
      <c r="I1957" s="224" t="s">
        <v>245</v>
      </c>
      <c r="J1957" s="224"/>
    </row>
    <row r="1958" spans="1:10" s="230" customFormat="1" x14ac:dyDescent="0.25">
      <c r="A1958" s="224">
        <v>525019305</v>
      </c>
      <c r="B1958" s="229" t="s">
        <v>4169</v>
      </c>
      <c r="C1958" s="224" t="s">
        <v>4170</v>
      </c>
      <c r="D1958" s="224" t="s">
        <v>3440</v>
      </c>
      <c r="E1958" s="224" t="s">
        <v>4171</v>
      </c>
      <c r="F1958" s="224"/>
      <c r="G1958" s="224"/>
      <c r="H1958" s="224"/>
      <c r="I1958" s="224" t="s">
        <v>1432</v>
      </c>
      <c r="J1958" s="224"/>
    </row>
    <row r="1959" spans="1:10" s="230" customFormat="1" x14ac:dyDescent="0.25">
      <c r="A1959" s="224">
        <v>636020792</v>
      </c>
      <c r="B1959" s="229" t="s">
        <v>4172</v>
      </c>
      <c r="C1959" s="224">
        <v>229</v>
      </c>
      <c r="D1959" s="224">
        <v>49228</v>
      </c>
      <c r="E1959" s="224">
        <v>9.6</v>
      </c>
      <c r="F1959" s="224"/>
      <c r="G1959" s="224"/>
      <c r="H1959" s="224"/>
      <c r="I1959" s="224"/>
      <c r="J1959" s="224"/>
    </row>
    <row r="1960" spans="1:10" s="230" customFormat="1" x14ac:dyDescent="0.25">
      <c r="A1960" s="224">
        <v>431999627</v>
      </c>
      <c r="B1960" s="229" t="s">
        <v>4173</v>
      </c>
      <c r="C1960" s="224">
        <v>178</v>
      </c>
      <c r="D1960" s="224">
        <v>8800</v>
      </c>
      <c r="E1960" s="224">
        <v>7.8</v>
      </c>
      <c r="F1960" s="224"/>
      <c r="G1960" s="224"/>
      <c r="H1960" s="224"/>
      <c r="I1960" s="224" t="s">
        <v>262</v>
      </c>
      <c r="J1960" s="224"/>
    </row>
    <row r="1961" spans="1:10" s="230" customFormat="1" x14ac:dyDescent="0.25">
      <c r="A1961" s="224">
        <v>525701655</v>
      </c>
      <c r="B1961" s="229" t="s">
        <v>4174</v>
      </c>
      <c r="C1961" s="224" t="s">
        <v>4175</v>
      </c>
      <c r="D1961" s="224" t="s">
        <v>4176</v>
      </c>
      <c r="E1961" s="224" t="s">
        <v>4177</v>
      </c>
      <c r="F1961" s="224"/>
      <c r="G1961" s="224"/>
      <c r="H1961" s="224"/>
      <c r="I1961" s="224" t="s">
        <v>245</v>
      </c>
      <c r="J1961" s="224"/>
    </row>
    <row r="1962" spans="1:10" s="230" customFormat="1" x14ac:dyDescent="0.25">
      <c r="A1962" s="224">
        <v>525301460</v>
      </c>
      <c r="B1962" s="229" t="s">
        <v>4178</v>
      </c>
      <c r="C1962" s="224" t="s">
        <v>478</v>
      </c>
      <c r="D1962" s="224" t="s">
        <v>4179</v>
      </c>
      <c r="E1962" s="224" t="s">
        <v>609</v>
      </c>
      <c r="F1962" s="224"/>
      <c r="G1962" s="224"/>
      <c r="H1962" s="224"/>
      <c r="I1962" s="224" t="s">
        <v>245</v>
      </c>
      <c r="J1962" s="224"/>
    </row>
    <row r="1963" spans="1:10" s="230" customFormat="1" x14ac:dyDescent="0.25">
      <c r="A1963" s="224">
        <v>352005642</v>
      </c>
      <c r="B1963" s="229" t="s">
        <v>4180</v>
      </c>
      <c r="C1963" s="224">
        <v>183</v>
      </c>
      <c r="D1963" s="224">
        <v>29777</v>
      </c>
      <c r="E1963" s="224">
        <v>12.5</v>
      </c>
      <c r="F1963" s="224"/>
      <c r="G1963" s="224"/>
      <c r="H1963" s="224"/>
      <c r="I1963" s="224" t="s">
        <v>160</v>
      </c>
      <c r="J1963" s="224"/>
    </row>
    <row r="1964" spans="1:10" s="230" customFormat="1" x14ac:dyDescent="0.25">
      <c r="A1964" s="224">
        <v>525121042</v>
      </c>
      <c r="B1964" s="229" t="s">
        <v>4181</v>
      </c>
      <c r="C1964" s="224">
        <v>127</v>
      </c>
      <c r="D1964" s="224">
        <v>8499</v>
      </c>
      <c r="E1964" s="224">
        <v>5</v>
      </c>
      <c r="F1964" s="224"/>
      <c r="G1964" s="224"/>
      <c r="H1964" s="224"/>
      <c r="I1964" s="224" t="s">
        <v>96</v>
      </c>
      <c r="J1964" s="224"/>
    </row>
    <row r="1965" spans="1:10" s="230" customFormat="1" x14ac:dyDescent="0.25">
      <c r="A1965" s="224">
        <v>525300050</v>
      </c>
      <c r="B1965" s="229" t="s">
        <v>4182</v>
      </c>
      <c r="C1965" s="224" t="s">
        <v>1164</v>
      </c>
      <c r="D1965" s="224" t="s">
        <v>4183</v>
      </c>
      <c r="E1965" s="224" t="s">
        <v>1288</v>
      </c>
      <c r="F1965" s="224"/>
      <c r="G1965" s="224"/>
      <c r="H1965" s="224"/>
      <c r="I1965" s="224" t="s">
        <v>4184</v>
      </c>
      <c r="J1965" s="224"/>
    </row>
    <row r="1966" spans="1:10" s="230" customFormat="1" x14ac:dyDescent="0.25">
      <c r="A1966" s="224">
        <v>525500512</v>
      </c>
      <c r="B1966" s="229" t="s">
        <v>4185</v>
      </c>
      <c r="C1966" s="224" t="s">
        <v>4186</v>
      </c>
      <c r="D1966" s="224" t="s">
        <v>2092</v>
      </c>
      <c r="E1966" s="224" t="s">
        <v>4187</v>
      </c>
      <c r="F1966" s="224"/>
      <c r="G1966" s="224"/>
      <c r="H1966" s="224"/>
      <c r="I1966" s="224" t="s">
        <v>249</v>
      </c>
      <c r="J1966" s="224"/>
    </row>
    <row r="1967" spans="1:10" s="230" customFormat="1" x14ac:dyDescent="0.25">
      <c r="A1967" s="224">
        <v>514306424</v>
      </c>
      <c r="B1967" s="229" t="s">
        <v>4188</v>
      </c>
      <c r="C1967" s="224">
        <v>73.81</v>
      </c>
      <c r="D1967" s="224">
        <v>1263</v>
      </c>
      <c r="E1967" s="224">
        <v>4</v>
      </c>
      <c r="F1967" s="224"/>
      <c r="G1967" s="224"/>
      <c r="H1967" s="224"/>
      <c r="I1967" s="224" t="s">
        <v>2398</v>
      </c>
      <c r="J1967" s="224"/>
    </row>
    <row r="1968" spans="1:10" s="230" customFormat="1" x14ac:dyDescent="0.25">
      <c r="A1968" s="224">
        <v>255915562</v>
      </c>
      <c r="B1968" s="229" t="s">
        <v>4189</v>
      </c>
      <c r="C1968" s="224">
        <v>135</v>
      </c>
      <c r="D1968" s="224">
        <v>10421</v>
      </c>
      <c r="E1968" s="224">
        <v>7</v>
      </c>
      <c r="F1968" s="224"/>
      <c r="G1968" s="224"/>
      <c r="H1968" s="224"/>
      <c r="I1968" s="224" t="s">
        <v>40</v>
      </c>
      <c r="J1968" s="224"/>
    </row>
    <row r="1969" spans="1:10" s="230" customFormat="1" x14ac:dyDescent="0.25">
      <c r="A1969" s="224">
        <v>525007188</v>
      </c>
      <c r="B1969" s="229" t="s">
        <v>4190</v>
      </c>
      <c r="C1969" s="224" t="s">
        <v>464</v>
      </c>
      <c r="D1969" s="224" t="s">
        <v>3395</v>
      </c>
      <c r="E1969" s="224" t="s">
        <v>4191</v>
      </c>
      <c r="F1969" s="224"/>
      <c r="G1969" s="224"/>
      <c r="H1969" s="224"/>
      <c r="I1969" s="224" t="s">
        <v>1432</v>
      </c>
      <c r="J1969" s="224"/>
    </row>
    <row r="1970" spans="1:10" s="230" customFormat="1" x14ac:dyDescent="0.25">
      <c r="A1970" s="224">
        <v>533191578</v>
      </c>
      <c r="B1970" s="229" t="s">
        <v>4192</v>
      </c>
      <c r="C1970" s="224" t="s">
        <v>4193</v>
      </c>
      <c r="D1970" s="224" t="s">
        <v>3558</v>
      </c>
      <c r="E1970" s="224" t="s">
        <v>4194</v>
      </c>
      <c r="F1970" s="224"/>
      <c r="G1970" s="224"/>
      <c r="H1970" s="224"/>
      <c r="I1970" s="224" t="s">
        <v>3562</v>
      </c>
      <c r="J1970" s="224"/>
    </row>
    <row r="1971" spans="1:10" s="230" customFormat="1" x14ac:dyDescent="0.25">
      <c r="A1971" s="224">
        <v>525271053</v>
      </c>
      <c r="B1971" s="229" t="s">
        <v>4195</v>
      </c>
      <c r="C1971" s="224">
        <v>128</v>
      </c>
      <c r="D1971" s="224">
        <v>8627</v>
      </c>
      <c r="E1971" s="224">
        <v>6</v>
      </c>
      <c r="F1971" s="224"/>
      <c r="G1971" s="224"/>
      <c r="H1971" s="224"/>
      <c r="I1971" s="224" t="s">
        <v>3665</v>
      </c>
      <c r="J1971" s="224"/>
    </row>
    <row r="1972" spans="1:10" s="230" customFormat="1" x14ac:dyDescent="0.25">
      <c r="A1972" s="224">
        <v>477987900</v>
      </c>
      <c r="B1972" s="229" t="s">
        <v>4196</v>
      </c>
      <c r="C1972" s="224">
        <v>229</v>
      </c>
      <c r="D1972" s="224">
        <v>44081</v>
      </c>
      <c r="E1972" s="224">
        <v>8.1999999999999993</v>
      </c>
      <c r="F1972" s="224"/>
      <c r="G1972" s="224"/>
      <c r="H1972" s="224"/>
      <c r="I1972" s="224" t="s">
        <v>248</v>
      </c>
      <c r="J1972" s="224"/>
    </row>
    <row r="1973" spans="1:10" s="230" customFormat="1" x14ac:dyDescent="0.25">
      <c r="A1973" s="224">
        <v>636019555</v>
      </c>
      <c r="B1973" s="229" t="s">
        <v>4197</v>
      </c>
      <c r="C1973" s="224">
        <v>199.9</v>
      </c>
      <c r="D1973" s="224">
        <v>36463</v>
      </c>
      <c r="E1973" s="224">
        <v>7.2</v>
      </c>
      <c r="F1973" s="224"/>
      <c r="G1973" s="224"/>
      <c r="H1973" s="224"/>
      <c r="I1973" s="224" t="s">
        <v>1895</v>
      </c>
      <c r="J1973" s="224"/>
    </row>
    <row r="1974" spans="1:10" s="230" customFormat="1" x14ac:dyDescent="0.25">
      <c r="A1974" s="224">
        <v>538010762</v>
      </c>
      <c r="B1974" s="229" t="s">
        <v>4198</v>
      </c>
      <c r="C1974" s="224">
        <v>200</v>
      </c>
      <c r="D1974" s="224">
        <v>35607</v>
      </c>
      <c r="E1974" s="224">
        <v>13.8</v>
      </c>
      <c r="F1974" s="224"/>
      <c r="G1974" s="224"/>
      <c r="H1974" s="224"/>
      <c r="I1974" s="224" t="s">
        <v>248</v>
      </c>
      <c r="J1974" s="224"/>
    </row>
    <row r="1975" spans="1:10" s="230" customFormat="1" x14ac:dyDescent="0.25">
      <c r="A1975" s="224">
        <v>351353000</v>
      </c>
      <c r="B1975" s="229" t="s">
        <v>4199</v>
      </c>
      <c r="C1975" s="224">
        <v>228.9</v>
      </c>
      <c r="D1975" s="224">
        <v>43036</v>
      </c>
      <c r="E1975" s="224">
        <v>10.4</v>
      </c>
      <c r="F1975" s="224"/>
      <c r="G1975" s="224"/>
      <c r="H1975" s="224"/>
      <c r="I1975" s="224" t="s">
        <v>71</v>
      </c>
      <c r="J1975" s="224"/>
    </row>
    <row r="1976" spans="1:10" s="230" customFormat="1" x14ac:dyDescent="0.25">
      <c r="A1976" s="224">
        <v>525010135</v>
      </c>
      <c r="B1976" s="229" t="s">
        <v>4200</v>
      </c>
      <c r="C1976" s="224" t="s">
        <v>4201</v>
      </c>
      <c r="D1976" s="224" t="s">
        <v>1296</v>
      </c>
      <c r="E1976" s="224" t="s">
        <v>4202</v>
      </c>
      <c r="F1976" s="224"/>
      <c r="G1976" s="224"/>
      <c r="H1976" s="224"/>
      <c r="I1976" s="224"/>
      <c r="J1976" s="224"/>
    </row>
    <row r="1977" spans="1:10" s="230" customFormat="1" x14ac:dyDescent="0.25">
      <c r="A1977" s="224">
        <v>525901684</v>
      </c>
      <c r="B1977" s="229" t="s">
        <v>4203</v>
      </c>
      <c r="C1977" s="224" t="s">
        <v>4204</v>
      </c>
      <c r="D1977" s="224" t="s">
        <v>3601</v>
      </c>
      <c r="E1977" s="224" t="s">
        <v>4205</v>
      </c>
      <c r="F1977" s="224"/>
      <c r="G1977" s="224"/>
      <c r="H1977" s="224"/>
      <c r="I1977" s="224" t="s">
        <v>3038</v>
      </c>
      <c r="J1977" s="224"/>
    </row>
    <row r="1978" spans="1:10" s="230" customFormat="1" x14ac:dyDescent="0.25">
      <c r="A1978" s="224">
        <v>525021253</v>
      </c>
      <c r="B1978" s="229" t="s">
        <v>4206</v>
      </c>
      <c r="C1978" s="224" t="s">
        <v>4207</v>
      </c>
      <c r="D1978" s="224" t="s">
        <v>4208</v>
      </c>
      <c r="E1978" s="224" t="s">
        <v>4209</v>
      </c>
      <c r="F1978" s="224"/>
      <c r="G1978" s="224"/>
      <c r="H1978" s="224"/>
      <c r="I1978" s="224" t="s">
        <v>39</v>
      </c>
      <c r="J1978" s="224"/>
    </row>
    <row r="1979" spans="1:10" s="230" customFormat="1" x14ac:dyDescent="0.25">
      <c r="A1979" s="224">
        <v>538011396</v>
      </c>
      <c r="B1979" s="229" t="s">
        <v>4210</v>
      </c>
      <c r="C1979" s="224">
        <v>199</v>
      </c>
      <c r="D1979" s="224">
        <v>35741</v>
      </c>
      <c r="E1979" s="224">
        <v>7.1</v>
      </c>
      <c r="F1979" s="224"/>
      <c r="G1979" s="224"/>
      <c r="H1979" s="224"/>
      <c r="I1979" s="224" t="s">
        <v>154</v>
      </c>
      <c r="J1979" s="224"/>
    </row>
    <row r="1980" spans="1:10" s="230" customFormat="1" x14ac:dyDescent="0.25">
      <c r="A1980" s="224">
        <v>525021366</v>
      </c>
      <c r="B1980" s="229" t="s">
        <v>4211</v>
      </c>
      <c r="C1980" s="224" t="s">
        <v>862</v>
      </c>
      <c r="D1980" s="224" t="s">
        <v>2670</v>
      </c>
      <c r="E1980" s="224" t="s">
        <v>4212</v>
      </c>
      <c r="F1980" s="224"/>
      <c r="G1980" s="224"/>
      <c r="H1980" s="224"/>
      <c r="I1980" s="224" t="s">
        <v>245</v>
      </c>
      <c r="J1980" s="224"/>
    </row>
    <row r="1981" spans="1:10" s="230" customFormat="1" x14ac:dyDescent="0.25">
      <c r="A1981" s="224">
        <v>525020218</v>
      </c>
      <c r="B1981" s="229" t="s">
        <v>4213</v>
      </c>
      <c r="C1981" s="224">
        <v>80</v>
      </c>
      <c r="D1981" s="224">
        <v>1496</v>
      </c>
      <c r="E1981" s="224" t="s">
        <v>3326</v>
      </c>
      <c r="F1981" s="224"/>
      <c r="G1981" s="224"/>
      <c r="H1981" s="224"/>
      <c r="I1981" s="224" t="s">
        <v>1976</v>
      </c>
      <c r="J1981" s="224"/>
    </row>
    <row r="1982" spans="1:10" s="230" customFormat="1" x14ac:dyDescent="0.25">
      <c r="A1982" s="224">
        <v>525200165</v>
      </c>
      <c r="B1982" s="229" t="s">
        <v>4214</v>
      </c>
      <c r="C1982" s="224" t="s">
        <v>4215</v>
      </c>
      <c r="D1982" s="224" t="s">
        <v>4216</v>
      </c>
      <c r="E1982" s="224" t="s">
        <v>4217</v>
      </c>
      <c r="F1982" s="224"/>
      <c r="G1982" s="224"/>
      <c r="H1982" s="224"/>
      <c r="I1982" s="224" t="s">
        <v>39</v>
      </c>
      <c r="J1982" s="224"/>
    </row>
    <row r="1983" spans="1:10" s="230" customFormat="1" x14ac:dyDescent="0.25">
      <c r="A1983" s="224">
        <v>525300198</v>
      </c>
      <c r="B1983" s="229" t="s">
        <v>4218</v>
      </c>
      <c r="C1983" s="224" t="s">
        <v>241</v>
      </c>
      <c r="D1983" s="224" t="s">
        <v>1537</v>
      </c>
      <c r="E1983" s="224" t="s">
        <v>4219</v>
      </c>
      <c r="F1983" s="224"/>
      <c r="G1983" s="224"/>
      <c r="H1983" s="224"/>
      <c r="I1983" s="224" t="s">
        <v>245</v>
      </c>
      <c r="J1983" s="224"/>
    </row>
    <row r="1984" spans="1:10" s="230" customFormat="1" x14ac:dyDescent="0.25">
      <c r="A1984" s="224">
        <v>229213000</v>
      </c>
      <c r="B1984" s="229" t="s">
        <v>4220</v>
      </c>
      <c r="C1984" s="224">
        <v>180</v>
      </c>
      <c r="D1984" s="224">
        <v>23638</v>
      </c>
      <c r="E1984" s="224">
        <v>9.6</v>
      </c>
      <c r="F1984" s="224"/>
      <c r="G1984" s="224"/>
      <c r="H1984" s="224"/>
      <c r="I1984" s="224"/>
      <c r="J1984" s="224"/>
    </row>
    <row r="1985" spans="1:10" s="230" customFormat="1" x14ac:dyDescent="0.25">
      <c r="A1985" s="224">
        <v>525121039</v>
      </c>
      <c r="B1985" s="229" t="s">
        <v>4221</v>
      </c>
      <c r="C1985" s="224">
        <v>16970</v>
      </c>
      <c r="D1985" s="224">
        <v>17021</v>
      </c>
      <c r="E1985" s="224">
        <v>10.07</v>
      </c>
      <c r="F1985" s="224"/>
      <c r="G1985" s="224"/>
      <c r="H1985" s="224"/>
      <c r="I1985" s="224" t="s">
        <v>249</v>
      </c>
      <c r="J1985" s="224"/>
    </row>
    <row r="1986" spans="1:10" s="230" customFormat="1" x14ac:dyDescent="0.25">
      <c r="A1986" s="224">
        <v>636092675</v>
      </c>
      <c r="B1986" s="229" t="s">
        <v>4222</v>
      </c>
      <c r="C1986" s="224">
        <v>180</v>
      </c>
      <c r="D1986" s="224">
        <v>2412</v>
      </c>
      <c r="E1986" s="224">
        <v>9.3000000000000007</v>
      </c>
      <c r="F1986" s="224"/>
      <c r="G1986" s="224"/>
      <c r="H1986" s="224"/>
      <c r="I1986" s="224" t="s">
        <v>1553</v>
      </c>
      <c r="J1986" s="224"/>
    </row>
    <row r="1987" spans="1:10" s="230" customFormat="1" x14ac:dyDescent="0.25">
      <c r="A1987" s="224">
        <v>525700298</v>
      </c>
      <c r="B1987" s="229" t="s">
        <v>4223</v>
      </c>
      <c r="C1987" s="224">
        <v>24.8</v>
      </c>
      <c r="D1987" s="224">
        <v>304</v>
      </c>
      <c r="E1987" s="224">
        <v>3.6</v>
      </c>
      <c r="F1987" s="224"/>
      <c r="G1987" s="224"/>
      <c r="H1987" s="224"/>
      <c r="I1987" s="224" t="s">
        <v>246</v>
      </c>
      <c r="J1987" s="224"/>
    </row>
    <row r="1988" spans="1:10" s="230" customFormat="1" x14ac:dyDescent="0.25">
      <c r="A1988" s="224">
        <v>636018105</v>
      </c>
      <c r="B1988" s="229" t="s">
        <v>4224</v>
      </c>
      <c r="C1988" s="224">
        <v>261</v>
      </c>
      <c r="D1988" s="224">
        <v>41298</v>
      </c>
      <c r="E1988" s="224">
        <v>7.6</v>
      </c>
      <c r="F1988" s="224"/>
      <c r="G1988" s="224"/>
      <c r="H1988" s="224"/>
      <c r="I1988" s="224" t="s">
        <v>71</v>
      </c>
      <c r="J1988" s="224"/>
    </row>
    <row r="1989" spans="1:10" s="230" customFormat="1" x14ac:dyDescent="0.25">
      <c r="A1989" s="224">
        <v>356060000</v>
      </c>
      <c r="B1989" s="229" t="s">
        <v>4225</v>
      </c>
      <c r="C1989" s="224">
        <v>12</v>
      </c>
      <c r="D1989" s="224">
        <v>9910</v>
      </c>
      <c r="E1989" s="224">
        <v>5.6</v>
      </c>
      <c r="F1989" s="224"/>
      <c r="G1989" s="224"/>
      <c r="H1989" s="224"/>
      <c r="I1989" s="224" t="s">
        <v>262</v>
      </c>
      <c r="J1989" s="224"/>
    </row>
    <row r="1990" spans="1:10" s="230" customFormat="1" x14ac:dyDescent="0.25">
      <c r="A1990" s="224">
        <v>636093165</v>
      </c>
      <c r="B1990" s="229" t="s">
        <v>4226</v>
      </c>
      <c r="C1990" s="224">
        <v>144</v>
      </c>
      <c r="D1990" s="224">
        <v>11935</v>
      </c>
      <c r="E1990" s="224">
        <v>7.1</v>
      </c>
      <c r="F1990" s="224"/>
      <c r="G1990" s="224"/>
      <c r="H1990" s="224"/>
      <c r="I1990" s="224" t="s">
        <v>40</v>
      </c>
      <c r="J1990" s="224"/>
    </row>
    <row r="1991" spans="1:10" s="230" customFormat="1" x14ac:dyDescent="0.25">
      <c r="A1991" s="224">
        <v>374273000</v>
      </c>
      <c r="B1991" s="229" t="s">
        <v>4227</v>
      </c>
      <c r="C1991" s="224">
        <v>141.30000000000001</v>
      </c>
      <c r="D1991" s="224">
        <v>10754</v>
      </c>
      <c r="E1991" s="224">
        <v>6.1</v>
      </c>
      <c r="F1991" s="224"/>
      <c r="G1991" s="224"/>
      <c r="H1991" s="224"/>
      <c r="I1991" s="224" t="s">
        <v>273</v>
      </c>
      <c r="J1991" s="224"/>
    </row>
    <row r="1992" spans="1:10" s="230" customFormat="1" x14ac:dyDescent="0.25">
      <c r="A1992" s="224">
        <v>525301401</v>
      </c>
      <c r="B1992" s="229" t="s">
        <v>4228</v>
      </c>
      <c r="C1992" s="224" t="s">
        <v>4229</v>
      </c>
      <c r="D1992" s="224" t="s">
        <v>4230</v>
      </c>
      <c r="E1992" s="224" t="s">
        <v>2131</v>
      </c>
      <c r="F1992" s="224"/>
      <c r="G1992" s="224"/>
      <c r="H1992" s="224"/>
      <c r="I1992" s="224" t="s">
        <v>3501</v>
      </c>
      <c r="J1992" s="224"/>
    </row>
    <row r="1993" spans="1:10" s="230" customFormat="1" x14ac:dyDescent="0.25">
      <c r="A1993" s="224">
        <v>525003671</v>
      </c>
      <c r="B1993" s="229" t="s">
        <v>4231</v>
      </c>
      <c r="C1993" s="224" t="s">
        <v>251</v>
      </c>
      <c r="D1993" s="224" t="s">
        <v>4232</v>
      </c>
      <c r="E1993" s="224" t="s">
        <v>4233</v>
      </c>
      <c r="F1993" s="224"/>
      <c r="G1993" s="224"/>
      <c r="H1993" s="224"/>
      <c r="I1993" s="224" t="s">
        <v>1976</v>
      </c>
      <c r="J1993" s="224"/>
    </row>
    <row r="1994" spans="1:10" s="230" customFormat="1" x14ac:dyDescent="0.25">
      <c r="A1994" s="224">
        <v>525010101</v>
      </c>
      <c r="B1994" s="229" t="s">
        <v>4234</v>
      </c>
      <c r="C1994" s="224" t="s">
        <v>4235</v>
      </c>
      <c r="D1994" s="224" t="s">
        <v>4236</v>
      </c>
      <c r="E1994" s="224" t="s">
        <v>4237</v>
      </c>
      <c r="F1994" s="224"/>
      <c r="G1994" s="224"/>
      <c r="H1994" s="224"/>
      <c r="I1994" s="224" t="s">
        <v>2002</v>
      </c>
      <c r="J1994" s="224"/>
    </row>
    <row r="1995" spans="1:10" s="230" customFormat="1" x14ac:dyDescent="0.25">
      <c r="A1995" s="224">
        <v>525018410</v>
      </c>
      <c r="B1995" s="229" t="s">
        <v>4238</v>
      </c>
      <c r="C1995" s="224" t="s">
        <v>4239</v>
      </c>
      <c r="D1995" s="224" t="s">
        <v>4240</v>
      </c>
      <c r="E1995" s="224" t="s">
        <v>4241</v>
      </c>
      <c r="F1995" s="224"/>
      <c r="G1995" s="224"/>
      <c r="H1995" s="224"/>
      <c r="I1995" s="224" t="s">
        <v>41</v>
      </c>
      <c r="J1995" s="224"/>
    </row>
    <row r="1996" spans="1:10" s="230" customFormat="1" x14ac:dyDescent="0.25">
      <c r="A1996" s="224">
        <v>440331000</v>
      </c>
      <c r="B1996" s="229" t="s">
        <v>4242</v>
      </c>
      <c r="C1996" s="224">
        <v>90</v>
      </c>
      <c r="D1996" s="224">
        <v>28010</v>
      </c>
      <c r="E1996" s="224">
        <v>4.7</v>
      </c>
      <c r="F1996" s="224"/>
      <c r="G1996" s="224"/>
      <c r="H1996" s="224"/>
      <c r="I1996" s="224" t="s">
        <v>3501</v>
      </c>
      <c r="J1996" s="224"/>
    </row>
    <row r="1997" spans="1:10" s="230" customFormat="1" x14ac:dyDescent="0.25">
      <c r="A1997" s="224">
        <v>525300129</v>
      </c>
      <c r="B1997" s="229" t="s">
        <v>4243</v>
      </c>
      <c r="C1997" s="224">
        <v>189</v>
      </c>
      <c r="D1997" s="224">
        <v>30822</v>
      </c>
      <c r="E1997" s="224">
        <v>6.4</v>
      </c>
      <c r="F1997" s="224"/>
      <c r="G1997" s="224"/>
      <c r="H1997" s="224"/>
      <c r="I1997" s="224" t="s">
        <v>249</v>
      </c>
      <c r="J1997" s="224"/>
    </row>
    <row r="1998" spans="1:10" s="230" customFormat="1" x14ac:dyDescent="0.25">
      <c r="A1998" s="224">
        <v>563294100</v>
      </c>
      <c r="B1998" s="229" t="s">
        <v>4244</v>
      </c>
      <c r="C1998" s="224">
        <v>183</v>
      </c>
      <c r="D1998" s="224">
        <v>29305</v>
      </c>
      <c r="E1998" s="224">
        <v>8.5</v>
      </c>
      <c r="F1998" s="224"/>
      <c r="G1998" s="224"/>
      <c r="H1998" s="224"/>
      <c r="I1998" s="224" t="s">
        <v>160</v>
      </c>
      <c r="J1998" s="224"/>
    </row>
    <row r="1999" spans="1:10" s="230" customFormat="1" x14ac:dyDescent="0.25">
      <c r="A1999" s="224">
        <v>525601446</v>
      </c>
      <c r="B1999" s="229" t="s">
        <v>4245</v>
      </c>
      <c r="C1999" s="224" t="s">
        <v>615</v>
      </c>
      <c r="D1999" s="224" t="s">
        <v>4246</v>
      </c>
      <c r="E1999" s="224" t="s">
        <v>4247</v>
      </c>
      <c r="F1999" s="224"/>
      <c r="G1999" s="224"/>
      <c r="H1999" s="224"/>
      <c r="I1999" s="224" t="s">
        <v>46</v>
      </c>
      <c r="J1999" s="224"/>
    </row>
    <row r="2000" spans="1:10" s="230" customFormat="1" x14ac:dyDescent="0.25">
      <c r="A2000" s="224">
        <v>353321000</v>
      </c>
      <c r="B2000" s="229" t="s">
        <v>4248</v>
      </c>
      <c r="C2000" s="224">
        <v>182</v>
      </c>
      <c r="D2000" s="224">
        <v>29182</v>
      </c>
      <c r="E2000" s="224">
        <v>11</v>
      </c>
      <c r="F2000" s="224"/>
      <c r="G2000" s="224"/>
      <c r="H2000" s="224"/>
      <c r="I2000" s="224" t="s">
        <v>3594</v>
      </c>
      <c r="J2000" s="224"/>
    </row>
    <row r="2001" spans="1:10" s="230" customFormat="1" x14ac:dyDescent="0.25">
      <c r="A2001" s="224">
        <v>636023990</v>
      </c>
      <c r="B2001" s="229" t="s">
        <v>4249</v>
      </c>
      <c r="C2001" s="224" t="s">
        <v>1645</v>
      </c>
      <c r="D2001" s="224">
        <v>31217</v>
      </c>
      <c r="E2001" s="224">
        <v>12.52</v>
      </c>
      <c r="F2001" s="224"/>
      <c r="G2001" s="224"/>
      <c r="H2001" s="224"/>
      <c r="I2001" s="224"/>
      <c r="J2001" s="224"/>
    </row>
    <row r="2002" spans="1:10" s="230" customFormat="1" x14ac:dyDescent="0.25">
      <c r="A2002" s="224">
        <v>525901620</v>
      </c>
      <c r="B2002" s="229" t="s">
        <v>4250</v>
      </c>
      <c r="C2002" s="224" t="s">
        <v>2313</v>
      </c>
      <c r="D2002" s="224" t="s">
        <v>2488</v>
      </c>
      <c r="E2002" s="224" t="s">
        <v>4251</v>
      </c>
      <c r="F2002" s="224"/>
      <c r="G2002" s="224"/>
      <c r="H2002" s="224"/>
      <c r="I2002" s="224" t="s">
        <v>249</v>
      </c>
      <c r="J2002" s="224"/>
    </row>
    <row r="2003" spans="1:10" s="230" customFormat="1" x14ac:dyDescent="0.25">
      <c r="A2003" s="224">
        <v>525010321</v>
      </c>
      <c r="B2003" s="229" t="s">
        <v>4252</v>
      </c>
      <c r="C2003" s="224" t="s">
        <v>4253</v>
      </c>
      <c r="D2003" s="224" t="s">
        <v>4254</v>
      </c>
      <c r="E2003" s="224" t="s">
        <v>4255</v>
      </c>
      <c r="F2003" s="224"/>
      <c r="G2003" s="224"/>
      <c r="H2003" s="224"/>
      <c r="I2003" s="224" t="s">
        <v>96</v>
      </c>
      <c r="J2003" s="224"/>
    </row>
    <row r="2004" spans="1:10" s="230" customFormat="1" x14ac:dyDescent="0.25">
      <c r="A2004" s="224">
        <v>352003400</v>
      </c>
      <c r="B2004" s="229" t="s">
        <v>4256</v>
      </c>
      <c r="C2004" s="224">
        <v>179.9</v>
      </c>
      <c r="D2004" s="224">
        <v>21538</v>
      </c>
      <c r="E2004" s="224">
        <v>6.2</v>
      </c>
      <c r="F2004" s="224"/>
      <c r="G2004" s="224"/>
      <c r="H2004" s="224"/>
      <c r="I2004" s="224" t="s">
        <v>71</v>
      </c>
      <c r="J2004" s="224"/>
    </row>
    <row r="2005" spans="1:10" s="230" customFormat="1" x14ac:dyDescent="0.25">
      <c r="A2005" s="224">
        <v>352004253</v>
      </c>
      <c r="B2005" s="229" t="s">
        <v>4257</v>
      </c>
      <c r="C2005" s="224">
        <v>199.9</v>
      </c>
      <c r="D2005" s="224">
        <v>38287</v>
      </c>
      <c r="E2005" s="224">
        <v>12.9</v>
      </c>
      <c r="F2005" s="224"/>
      <c r="G2005" s="224"/>
      <c r="H2005" s="224"/>
      <c r="I2005" s="224"/>
      <c r="J2005" s="224"/>
    </row>
    <row r="2006" spans="1:10" s="230" customFormat="1" x14ac:dyDescent="0.25">
      <c r="A2006" s="224">
        <v>257351000</v>
      </c>
      <c r="B2006" s="229" t="s">
        <v>4258</v>
      </c>
      <c r="C2006" s="224">
        <v>183.8</v>
      </c>
      <c r="D2006" s="224">
        <v>29214</v>
      </c>
      <c r="E2006" s="224">
        <v>7.3</v>
      </c>
      <c r="F2006" s="224"/>
      <c r="G2006" s="224"/>
      <c r="H2006" s="224"/>
      <c r="I2006" s="224"/>
      <c r="J2006" s="224"/>
    </row>
    <row r="2007" spans="1:10" s="230" customFormat="1" x14ac:dyDescent="0.25">
      <c r="A2007" s="224">
        <v>525401350</v>
      </c>
      <c r="B2007" s="229" t="s">
        <v>4259</v>
      </c>
      <c r="C2007" s="224" t="s">
        <v>216</v>
      </c>
      <c r="D2007" s="224" t="s">
        <v>4260</v>
      </c>
      <c r="E2007" s="224" t="s">
        <v>1975</v>
      </c>
      <c r="F2007" s="224"/>
      <c r="G2007" s="224"/>
      <c r="H2007" s="224"/>
      <c r="I2007" s="224" t="s">
        <v>4261</v>
      </c>
      <c r="J2007" s="224"/>
    </row>
    <row r="2008" spans="1:10" s="230" customFormat="1" x14ac:dyDescent="0.25">
      <c r="A2008" s="224">
        <v>525023286</v>
      </c>
      <c r="B2008" s="229" t="s">
        <v>4262</v>
      </c>
      <c r="C2008" s="224" t="s">
        <v>4201</v>
      </c>
      <c r="D2008" s="224" t="s">
        <v>4263</v>
      </c>
      <c r="E2008" s="224" t="s">
        <v>1685</v>
      </c>
      <c r="F2008" s="224"/>
      <c r="G2008" s="224"/>
      <c r="H2008" s="224"/>
      <c r="I2008" s="224" t="s">
        <v>46</v>
      </c>
      <c r="J2008" s="224"/>
    </row>
    <row r="2009" spans="1:10" s="230" customFormat="1" x14ac:dyDescent="0.25">
      <c r="A2009" s="224">
        <v>525601852</v>
      </c>
      <c r="B2009" s="229" t="s">
        <v>4264</v>
      </c>
      <c r="C2009" s="224" t="s">
        <v>4265</v>
      </c>
      <c r="D2009" s="224" t="s">
        <v>4266</v>
      </c>
      <c r="E2009" s="224" t="s">
        <v>4267</v>
      </c>
      <c r="F2009" s="224"/>
      <c r="G2009" s="224"/>
      <c r="H2009" s="224"/>
      <c r="I2009" s="224"/>
      <c r="J2009" s="224"/>
    </row>
    <row r="2010" spans="1:10" s="230" customFormat="1" x14ac:dyDescent="0.25">
      <c r="A2010" s="224">
        <v>525500543</v>
      </c>
      <c r="B2010" s="229" t="s">
        <v>4268</v>
      </c>
      <c r="C2010" s="224" t="s">
        <v>4269</v>
      </c>
      <c r="D2010" s="224" t="s">
        <v>4270</v>
      </c>
      <c r="E2010" s="224" t="s">
        <v>243</v>
      </c>
      <c r="F2010" s="224"/>
      <c r="G2010" s="224"/>
      <c r="H2010" s="224"/>
      <c r="I2010" s="224" t="s">
        <v>39</v>
      </c>
      <c r="J2010" s="224"/>
    </row>
    <row r="2011" spans="1:10" s="230" customFormat="1" x14ac:dyDescent="0.25">
      <c r="A2011" s="224">
        <v>636020198</v>
      </c>
      <c r="B2011" s="229" t="s">
        <v>4271</v>
      </c>
      <c r="C2011" s="224">
        <v>259</v>
      </c>
      <c r="D2011" s="224">
        <v>41322</v>
      </c>
      <c r="E2011" s="224">
        <v>10.1</v>
      </c>
      <c r="F2011" s="224"/>
      <c r="G2011" s="224"/>
      <c r="H2011" s="224"/>
      <c r="I2011" s="224"/>
      <c r="J2011" s="224"/>
    </row>
    <row r="2012" spans="1:10" s="230" customFormat="1" x14ac:dyDescent="0.25">
      <c r="A2012" s="224">
        <v>477056800</v>
      </c>
      <c r="B2012" s="229" t="s">
        <v>4272</v>
      </c>
      <c r="C2012" s="224">
        <v>12456</v>
      </c>
      <c r="D2012" s="224">
        <v>9998</v>
      </c>
      <c r="E2012" s="224">
        <v>5.51</v>
      </c>
      <c r="F2012" s="224"/>
      <c r="G2012" s="224"/>
      <c r="H2012" s="224"/>
      <c r="I2012" s="224" t="s">
        <v>262</v>
      </c>
      <c r="J2012" s="224"/>
    </row>
    <row r="2013" spans="1:10" s="230" customFormat="1" x14ac:dyDescent="0.25">
      <c r="A2013" s="224">
        <v>538010263</v>
      </c>
      <c r="B2013" s="229" t="s">
        <v>4273</v>
      </c>
      <c r="C2013" s="224">
        <v>199.9</v>
      </c>
      <c r="D2013" s="224">
        <v>34476</v>
      </c>
      <c r="E2013" s="224">
        <v>13.12</v>
      </c>
      <c r="F2013" s="224"/>
      <c r="G2013" s="224"/>
      <c r="H2013" s="224"/>
      <c r="I2013" s="224"/>
      <c r="J2013" s="224"/>
    </row>
    <row r="2014" spans="1:10" s="230" customFormat="1" x14ac:dyDescent="0.25">
      <c r="A2014" s="224">
        <v>352003888</v>
      </c>
      <c r="B2014" s="229" t="s">
        <v>4274</v>
      </c>
      <c r="C2014" s="224">
        <v>176</v>
      </c>
      <c r="D2014" s="224">
        <v>25105</v>
      </c>
      <c r="E2014" s="224">
        <v>8.1</v>
      </c>
      <c r="F2014" s="224"/>
      <c r="G2014" s="224"/>
      <c r="H2014" s="224"/>
      <c r="I2014" s="224" t="s">
        <v>160</v>
      </c>
      <c r="J2014" s="224"/>
    </row>
    <row r="2015" spans="1:10" s="230" customFormat="1" x14ac:dyDescent="0.25">
      <c r="A2015" s="224">
        <v>525114048</v>
      </c>
      <c r="B2015" s="229" t="s">
        <v>4275</v>
      </c>
      <c r="C2015" s="224">
        <v>99.9</v>
      </c>
      <c r="D2015" s="224">
        <v>4029</v>
      </c>
      <c r="E2015" s="224">
        <v>5.2</v>
      </c>
      <c r="F2015" s="224"/>
      <c r="G2015" s="224"/>
      <c r="H2015" s="224"/>
      <c r="I2015" s="224" t="s">
        <v>96</v>
      </c>
      <c r="J2015" s="224"/>
    </row>
    <row r="2016" spans="1:10" s="230" customFormat="1" x14ac:dyDescent="0.25">
      <c r="A2016" s="224">
        <v>525400425</v>
      </c>
      <c r="B2016" s="229" t="s">
        <v>4276</v>
      </c>
      <c r="C2016" s="224" t="s">
        <v>4277</v>
      </c>
      <c r="D2016" s="224" t="s">
        <v>4278</v>
      </c>
      <c r="E2016" s="224" t="s">
        <v>1731</v>
      </c>
      <c r="F2016" s="224"/>
      <c r="G2016" s="224"/>
      <c r="H2016" s="224"/>
      <c r="I2016" s="224" t="s">
        <v>45</v>
      </c>
      <c r="J2016" s="224"/>
    </row>
    <row r="2017" spans="1:10" s="230" customFormat="1" x14ac:dyDescent="0.25">
      <c r="A2017" s="224">
        <v>525003489</v>
      </c>
      <c r="B2017" s="229" t="s">
        <v>4279</v>
      </c>
      <c r="C2017" s="224">
        <v>49</v>
      </c>
      <c r="D2017" s="224">
        <v>529</v>
      </c>
      <c r="E2017" s="224">
        <v>3.2</v>
      </c>
      <c r="F2017" s="224"/>
      <c r="G2017" s="224"/>
      <c r="H2017" s="224"/>
      <c r="I2017" s="224" t="s">
        <v>96</v>
      </c>
      <c r="J2017" s="224"/>
    </row>
    <row r="2018" spans="1:10" s="230" customFormat="1" x14ac:dyDescent="0.25">
      <c r="A2018" s="224">
        <v>525018193</v>
      </c>
      <c r="B2018" s="229" t="s">
        <v>4280</v>
      </c>
      <c r="C2018" s="224">
        <v>88</v>
      </c>
      <c r="D2018" s="224">
        <v>2177</v>
      </c>
      <c r="E2018" s="224">
        <v>2</v>
      </c>
      <c r="F2018" s="224"/>
      <c r="G2018" s="224"/>
      <c r="H2018" s="224"/>
      <c r="I2018" s="224" t="s">
        <v>96</v>
      </c>
      <c r="J2018" s="224"/>
    </row>
    <row r="2019" spans="1:10" s="230" customFormat="1" x14ac:dyDescent="0.25">
      <c r="A2019" s="224">
        <v>477312700</v>
      </c>
      <c r="B2019" s="229" t="s">
        <v>4281</v>
      </c>
      <c r="C2019" s="224">
        <v>229</v>
      </c>
      <c r="D2019" s="224">
        <v>44114</v>
      </c>
      <c r="E2019" s="224">
        <v>12.2</v>
      </c>
      <c r="F2019" s="224"/>
      <c r="G2019" s="224"/>
      <c r="H2019" s="224"/>
      <c r="I2019" s="224"/>
      <c r="J2019" s="224"/>
    </row>
    <row r="2020" spans="1:10" s="230" customFormat="1" x14ac:dyDescent="0.25">
      <c r="A2020" s="224">
        <v>525500553</v>
      </c>
      <c r="B2020" s="229" t="s">
        <v>4282</v>
      </c>
      <c r="C2020" s="224" t="s">
        <v>4283</v>
      </c>
      <c r="D2020" s="224" t="s">
        <v>4284</v>
      </c>
      <c r="E2020" s="224" t="s">
        <v>4285</v>
      </c>
      <c r="F2020" s="224"/>
      <c r="G2020" s="224"/>
      <c r="H2020" s="224"/>
      <c r="I2020" s="224" t="s">
        <v>1584</v>
      </c>
      <c r="J2020" s="224"/>
    </row>
    <row r="2021" spans="1:10" s="230" customFormat="1" x14ac:dyDescent="0.25">
      <c r="A2021" s="224">
        <v>664288000</v>
      </c>
      <c r="B2021" s="229" t="s">
        <v>4286</v>
      </c>
      <c r="C2021" s="224">
        <v>185</v>
      </c>
      <c r="D2021" s="224">
        <v>22346</v>
      </c>
      <c r="E2021" s="224" t="s">
        <v>131</v>
      </c>
      <c r="F2021" s="224"/>
      <c r="G2021" s="224"/>
      <c r="H2021" s="224"/>
      <c r="I2021" s="224" t="s">
        <v>160</v>
      </c>
      <c r="J2021" s="224"/>
    </row>
    <row r="2022" spans="1:10" s="230" customFormat="1" x14ac:dyDescent="0.25">
      <c r="A2022" s="224">
        <v>563013300</v>
      </c>
      <c r="B2022" s="229" t="s">
        <v>4287</v>
      </c>
      <c r="C2022" s="224">
        <v>179.58</v>
      </c>
      <c r="D2022" s="224">
        <v>21315</v>
      </c>
      <c r="E2022" s="224">
        <v>8.3000000000000007</v>
      </c>
      <c r="F2022" s="224"/>
      <c r="G2022" s="224"/>
      <c r="H2022" s="224"/>
      <c r="I2022" s="224" t="s">
        <v>150</v>
      </c>
      <c r="J2022" s="224"/>
    </row>
    <row r="2023" spans="1:10" s="230" customFormat="1" x14ac:dyDescent="0.25">
      <c r="A2023" s="224">
        <v>525100332</v>
      </c>
      <c r="B2023" s="229" t="s">
        <v>4288</v>
      </c>
      <c r="C2023" s="224" t="s">
        <v>4289</v>
      </c>
      <c r="D2023" s="224" t="s">
        <v>3555</v>
      </c>
      <c r="E2023" s="224" t="s">
        <v>4290</v>
      </c>
      <c r="F2023" s="224"/>
      <c r="G2023" s="224"/>
      <c r="H2023" s="224"/>
      <c r="I2023" s="224" t="s">
        <v>39</v>
      </c>
      <c r="J2023" s="224"/>
    </row>
    <row r="2024" spans="1:10" s="230" customFormat="1" x14ac:dyDescent="0.25">
      <c r="A2024" s="224">
        <v>525600314</v>
      </c>
      <c r="B2024" s="229" t="s">
        <v>4291</v>
      </c>
      <c r="C2024" s="224" t="s">
        <v>4292</v>
      </c>
      <c r="D2024" s="224" t="s">
        <v>4293</v>
      </c>
      <c r="E2024" s="224" t="s">
        <v>4294</v>
      </c>
      <c r="F2024" s="224"/>
      <c r="G2024" s="224"/>
      <c r="H2024" s="224"/>
      <c r="I2024" s="224" t="s">
        <v>1432</v>
      </c>
      <c r="J2024" s="224"/>
    </row>
    <row r="2025" spans="1:10" s="230" customFormat="1" x14ac:dyDescent="0.25">
      <c r="A2025" s="224">
        <v>525101623</v>
      </c>
      <c r="B2025" s="229" t="s">
        <v>4295</v>
      </c>
      <c r="C2025" s="224">
        <v>57.46</v>
      </c>
      <c r="D2025" s="224">
        <v>439</v>
      </c>
      <c r="E2025" s="224">
        <v>2.4</v>
      </c>
      <c r="F2025" s="224"/>
      <c r="G2025" s="224"/>
      <c r="H2025" s="224"/>
      <c r="I2025" s="224" t="s">
        <v>1584</v>
      </c>
      <c r="J2025" s="224"/>
    </row>
    <row r="2026" spans="1:10" s="230" customFormat="1" x14ac:dyDescent="0.25">
      <c r="A2026" s="224">
        <v>352003034</v>
      </c>
      <c r="B2026" s="229" t="s">
        <v>4296</v>
      </c>
      <c r="C2026" s="224">
        <v>104</v>
      </c>
      <c r="D2026" s="224"/>
      <c r="E2026" s="224">
        <v>8.3000000000000007</v>
      </c>
      <c r="F2026" s="224"/>
      <c r="G2026" s="224"/>
      <c r="H2026" s="224"/>
      <c r="I2026" s="224"/>
      <c r="J2026" s="224"/>
    </row>
    <row r="2027" spans="1:10" s="230" customFormat="1" x14ac:dyDescent="0.25">
      <c r="A2027" s="224">
        <v>525100148</v>
      </c>
      <c r="B2027" s="229" t="s">
        <v>4297</v>
      </c>
      <c r="C2027" s="224">
        <v>169.26</v>
      </c>
      <c r="D2027" s="224">
        <v>17935</v>
      </c>
      <c r="E2027" s="224">
        <v>9.6999999999999993</v>
      </c>
      <c r="F2027" s="224"/>
      <c r="G2027" s="224"/>
      <c r="H2027" s="224"/>
      <c r="I2027" s="224" t="s">
        <v>46</v>
      </c>
      <c r="J2027" s="224"/>
    </row>
    <row r="2028" spans="1:10" s="230" customFormat="1" x14ac:dyDescent="0.25">
      <c r="A2028" s="224">
        <v>525801359</v>
      </c>
      <c r="B2028" s="229" t="s">
        <v>4298</v>
      </c>
      <c r="C2028" s="224" t="s">
        <v>1652</v>
      </c>
      <c r="D2028" s="224" t="s">
        <v>2598</v>
      </c>
      <c r="E2028" s="224" t="s">
        <v>4069</v>
      </c>
      <c r="F2028" s="224"/>
      <c r="G2028" s="224"/>
      <c r="H2028" s="224"/>
      <c r="I2028" s="224" t="s">
        <v>245</v>
      </c>
      <c r="J2028" s="224"/>
    </row>
    <row r="2029" spans="1:10" s="230" customFormat="1" x14ac:dyDescent="0.25">
      <c r="A2029" s="224">
        <v>525901607</v>
      </c>
      <c r="B2029" s="229" t="s">
        <v>4299</v>
      </c>
      <c r="C2029" s="224" t="s">
        <v>495</v>
      </c>
      <c r="D2029" s="224" t="s">
        <v>4300</v>
      </c>
      <c r="E2029" s="224" t="s">
        <v>4128</v>
      </c>
      <c r="F2029" s="224"/>
      <c r="G2029" s="224"/>
      <c r="H2029" s="224"/>
      <c r="I2029" s="224" t="s">
        <v>1432</v>
      </c>
      <c r="J2029" s="224"/>
    </row>
    <row r="2030" spans="1:10" s="230" customFormat="1" x14ac:dyDescent="0.25">
      <c r="A2030" s="224">
        <v>525801857</v>
      </c>
      <c r="B2030" s="229" t="s">
        <v>4301</v>
      </c>
      <c r="C2030" s="224">
        <v>87</v>
      </c>
      <c r="D2030" s="224">
        <v>2625</v>
      </c>
      <c r="E2030" s="224">
        <v>4.4000000000000004</v>
      </c>
      <c r="F2030" s="224"/>
      <c r="G2030" s="224"/>
      <c r="H2030" s="224"/>
      <c r="I2030" s="224" t="s">
        <v>1432</v>
      </c>
      <c r="J2030" s="224"/>
    </row>
    <row r="2031" spans="1:10" s="230" customFormat="1" x14ac:dyDescent="0.25">
      <c r="A2031" s="224">
        <v>533130178</v>
      </c>
      <c r="B2031" s="229" t="s">
        <v>4302</v>
      </c>
      <c r="C2031" s="224" t="s">
        <v>3736</v>
      </c>
      <c r="D2031" s="224" t="s">
        <v>3737</v>
      </c>
      <c r="E2031" s="224" t="s">
        <v>4303</v>
      </c>
      <c r="F2031" s="224"/>
      <c r="G2031" s="224"/>
      <c r="H2031" s="224"/>
      <c r="I2031" s="224" t="s">
        <v>4304</v>
      </c>
      <c r="J2031" s="224"/>
    </row>
    <row r="2032" spans="1:10" s="230" customFormat="1" x14ac:dyDescent="0.25">
      <c r="A2032" s="224">
        <v>525300046</v>
      </c>
      <c r="B2032" s="229" t="s">
        <v>4305</v>
      </c>
      <c r="C2032" s="224" t="s">
        <v>4306</v>
      </c>
      <c r="D2032" s="224" t="s">
        <v>3768</v>
      </c>
      <c r="E2032" s="224" t="s">
        <v>4307</v>
      </c>
      <c r="F2032" s="224"/>
      <c r="G2032" s="224"/>
      <c r="H2032" s="224"/>
      <c r="I2032" s="224" t="s">
        <v>41</v>
      </c>
      <c r="J2032" s="224"/>
    </row>
    <row r="2033" spans="1:10" s="230" customFormat="1" x14ac:dyDescent="0.25">
      <c r="A2033" s="224">
        <v>525901268</v>
      </c>
      <c r="B2033" s="229" t="s">
        <v>4308</v>
      </c>
      <c r="C2033" s="224" t="s">
        <v>4309</v>
      </c>
      <c r="D2033" s="224" t="s">
        <v>3586</v>
      </c>
      <c r="E2033" s="224" t="s">
        <v>2152</v>
      </c>
      <c r="F2033" s="224"/>
      <c r="G2033" s="224"/>
      <c r="H2033" s="224"/>
      <c r="I2033" s="224" t="s">
        <v>1870</v>
      </c>
      <c r="J2033" s="224"/>
    </row>
    <row r="2034" spans="1:10" s="230" customFormat="1" x14ac:dyDescent="0.25">
      <c r="A2034" s="224">
        <v>525701888</v>
      </c>
      <c r="B2034" s="229" t="s">
        <v>4310</v>
      </c>
      <c r="C2034" s="224" t="s">
        <v>4311</v>
      </c>
      <c r="D2034" s="224" t="s">
        <v>4312</v>
      </c>
      <c r="E2034" s="224" t="s">
        <v>4313</v>
      </c>
      <c r="F2034" s="224"/>
      <c r="G2034" s="224"/>
      <c r="H2034" s="224"/>
      <c r="I2034" s="224" t="s">
        <v>92</v>
      </c>
      <c r="J2034" s="224"/>
    </row>
    <row r="2035" spans="1:10" s="230" customFormat="1" x14ac:dyDescent="0.25">
      <c r="A2035" s="224">
        <v>525003337</v>
      </c>
      <c r="B2035" s="229" t="s">
        <v>4314</v>
      </c>
      <c r="C2035" s="224">
        <v>151</v>
      </c>
      <c r="D2035" s="224">
        <v>15380</v>
      </c>
      <c r="E2035" s="224">
        <v>6.2</v>
      </c>
      <c r="F2035" s="224"/>
      <c r="G2035" s="224"/>
      <c r="H2035" s="224"/>
      <c r="I2035" s="224" t="s">
        <v>48</v>
      </c>
      <c r="J2035" s="224"/>
    </row>
    <row r="2036" spans="1:10" s="230" customFormat="1" x14ac:dyDescent="0.25">
      <c r="A2036" s="224">
        <v>357542000</v>
      </c>
      <c r="B2036" s="229" t="s">
        <v>4315</v>
      </c>
      <c r="C2036" s="224">
        <v>259.5</v>
      </c>
      <c r="D2036" s="224">
        <v>40631</v>
      </c>
      <c r="E2036" s="224">
        <v>6.6</v>
      </c>
      <c r="F2036" s="224"/>
      <c r="G2036" s="224"/>
      <c r="H2036" s="224"/>
      <c r="I2036" s="224" t="s">
        <v>71</v>
      </c>
      <c r="J2036" s="224"/>
    </row>
    <row r="2037" spans="1:10" s="230" customFormat="1" x14ac:dyDescent="0.25">
      <c r="A2037" s="224">
        <v>636024925</v>
      </c>
      <c r="B2037" s="229" t="s">
        <v>4316</v>
      </c>
      <c r="C2037" s="224">
        <v>183</v>
      </c>
      <c r="D2037" s="224">
        <v>29477</v>
      </c>
      <c r="E2037" s="224">
        <v>7.6</v>
      </c>
      <c r="F2037" s="224"/>
      <c r="G2037" s="224"/>
      <c r="H2037" s="224"/>
      <c r="I2037" s="224" t="s">
        <v>160</v>
      </c>
      <c r="J2037" s="224"/>
    </row>
    <row r="2038" spans="1:10" s="230" customFormat="1" x14ac:dyDescent="0.25">
      <c r="A2038" s="224">
        <v>525200775</v>
      </c>
      <c r="B2038" s="229" t="s">
        <v>4317</v>
      </c>
      <c r="C2038" s="224" t="s">
        <v>3295</v>
      </c>
      <c r="D2038" s="224" t="s">
        <v>4318</v>
      </c>
      <c r="E2038" s="224" t="s">
        <v>4319</v>
      </c>
      <c r="F2038" s="224"/>
      <c r="G2038" s="224"/>
      <c r="H2038" s="224"/>
      <c r="I2038" s="224" t="s">
        <v>1976</v>
      </c>
      <c r="J2038" s="224"/>
    </row>
    <row r="2039" spans="1:10" s="230" customFormat="1" x14ac:dyDescent="0.25">
      <c r="A2039" s="224">
        <v>352006112</v>
      </c>
      <c r="B2039" s="229" t="s">
        <v>4320</v>
      </c>
      <c r="C2039" s="224">
        <v>183</v>
      </c>
      <c r="D2039" s="224">
        <v>29777</v>
      </c>
      <c r="E2039" s="224">
        <v>8</v>
      </c>
      <c r="F2039" s="224"/>
      <c r="G2039" s="224"/>
      <c r="H2039" s="224"/>
      <c r="I2039" s="224"/>
      <c r="J2039" s="224"/>
    </row>
    <row r="2040" spans="1:10" s="230" customFormat="1" x14ac:dyDescent="0.25">
      <c r="A2040" s="224">
        <v>525300286</v>
      </c>
      <c r="B2040" s="229" t="s">
        <v>4321</v>
      </c>
      <c r="C2040" s="224" t="s">
        <v>4322</v>
      </c>
      <c r="D2040" s="224" t="s">
        <v>4323</v>
      </c>
      <c r="E2040" s="224" t="s">
        <v>4324</v>
      </c>
      <c r="F2040" s="224"/>
      <c r="G2040" s="224"/>
      <c r="H2040" s="224"/>
      <c r="I2040" s="224" t="s">
        <v>1584</v>
      </c>
      <c r="J2040" s="224"/>
    </row>
    <row r="2041" spans="1:10" s="230" customFormat="1" x14ac:dyDescent="0.25">
      <c r="A2041" s="224">
        <v>525018007</v>
      </c>
      <c r="B2041" s="229" t="s">
        <v>4325</v>
      </c>
      <c r="C2041" s="224">
        <v>115</v>
      </c>
      <c r="D2041" s="224">
        <v>7497</v>
      </c>
      <c r="E2041" s="224">
        <v>6.5</v>
      </c>
      <c r="F2041" s="224"/>
      <c r="G2041" s="224"/>
      <c r="H2041" s="224"/>
      <c r="I2041" s="224" t="s">
        <v>1584</v>
      </c>
      <c r="J2041" s="224"/>
    </row>
    <row r="2042" spans="1:10" s="230" customFormat="1" x14ac:dyDescent="0.25">
      <c r="A2042" s="224">
        <v>525701838</v>
      </c>
      <c r="B2042" s="229" t="s">
        <v>4326</v>
      </c>
      <c r="C2042" s="224" t="s">
        <v>2151</v>
      </c>
      <c r="D2042" s="224" t="s">
        <v>4327</v>
      </c>
      <c r="E2042" s="224" t="s">
        <v>4328</v>
      </c>
      <c r="F2042" s="224"/>
      <c r="G2042" s="224"/>
      <c r="H2042" s="224"/>
      <c r="I2042" s="224" t="s">
        <v>245</v>
      </c>
      <c r="J2042" s="224"/>
    </row>
    <row r="2043" spans="1:10" s="230" customFormat="1" x14ac:dyDescent="0.25">
      <c r="A2043" s="224">
        <v>526065602</v>
      </c>
      <c r="B2043" s="229" t="s">
        <v>4329</v>
      </c>
      <c r="C2043" s="224">
        <v>74</v>
      </c>
      <c r="D2043" s="224">
        <v>8000</v>
      </c>
      <c r="E2043" s="224">
        <v>4.3</v>
      </c>
      <c r="F2043" s="224"/>
      <c r="G2043" s="224"/>
      <c r="H2043" s="224"/>
      <c r="I2043" s="224"/>
      <c r="J2043" s="224"/>
    </row>
    <row r="2044" spans="1:10" s="230" customFormat="1" x14ac:dyDescent="0.25">
      <c r="A2044" s="224">
        <v>538008253</v>
      </c>
      <c r="B2044" s="229" t="s">
        <v>4330</v>
      </c>
      <c r="C2044" s="224">
        <v>189.9</v>
      </c>
      <c r="D2044" s="224">
        <v>32415</v>
      </c>
      <c r="E2044" s="224">
        <v>10</v>
      </c>
      <c r="F2044" s="224"/>
      <c r="G2044" s="224"/>
      <c r="H2044" s="224"/>
      <c r="I2044" s="224" t="s">
        <v>1895</v>
      </c>
      <c r="J2044" s="224"/>
    </row>
    <row r="2045" spans="1:10" s="230" customFormat="1" x14ac:dyDescent="0.25">
      <c r="A2045" s="224">
        <v>525701446</v>
      </c>
      <c r="B2045" s="229" t="s">
        <v>4331</v>
      </c>
      <c r="C2045" s="224" t="s">
        <v>3468</v>
      </c>
      <c r="D2045" s="224" t="s">
        <v>4332</v>
      </c>
      <c r="E2045" s="224" t="s">
        <v>4333</v>
      </c>
      <c r="F2045" s="224"/>
      <c r="G2045" s="224"/>
      <c r="H2045" s="224"/>
      <c r="I2045" s="224" t="s">
        <v>39</v>
      </c>
      <c r="J2045" s="224"/>
    </row>
    <row r="2046" spans="1:10" s="230" customFormat="1" x14ac:dyDescent="0.25">
      <c r="A2046" s="224">
        <v>525003430</v>
      </c>
      <c r="B2046" s="229" t="s">
        <v>4334</v>
      </c>
      <c r="C2046" s="224">
        <v>93.95</v>
      </c>
      <c r="D2046" s="224">
        <v>4635</v>
      </c>
      <c r="E2046" s="224">
        <v>6.5</v>
      </c>
      <c r="F2046" s="224"/>
      <c r="G2046" s="224"/>
      <c r="H2046" s="224"/>
      <c r="I2046" s="224" t="s">
        <v>2398</v>
      </c>
      <c r="J2046" s="224"/>
    </row>
    <row r="2047" spans="1:10" s="230" customFormat="1" x14ac:dyDescent="0.25">
      <c r="A2047" s="224">
        <v>477133500</v>
      </c>
      <c r="B2047" s="229" t="s">
        <v>4335</v>
      </c>
      <c r="C2047" s="224">
        <v>180</v>
      </c>
      <c r="D2047" s="224">
        <v>23405</v>
      </c>
      <c r="E2047" s="224">
        <v>10.199999999999999</v>
      </c>
      <c r="F2047" s="224"/>
      <c r="G2047" s="224"/>
      <c r="H2047" s="224"/>
      <c r="I2047" s="224" t="s">
        <v>4336</v>
      </c>
      <c r="J2047" s="224"/>
    </row>
    <row r="2048" spans="1:10" s="230" customFormat="1" x14ac:dyDescent="0.25">
      <c r="A2048" s="224">
        <v>525007084</v>
      </c>
      <c r="B2048" s="229" t="s">
        <v>4337</v>
      </c>
      <c r="C2048" s="224" t="s">
        <v>4338</v>
      </c>
      <c r="D2048" s="224" t="s">
        <v>4339</v>
      </c>
      <c r="E2048" s="224" t="s">
        <v>4340</v>
      </c>
      <c r="F2048" s="224"/>
      <c r="G2048" s="224"/>
      <c r="H2048" s="224"/>
      <c r="I2048" s="224" t="s">
        <v>1870</v>
      </c>
      <c r="J2048" s="224"/>
    </row>
    <row r="2049" spans="1:10" s="230" customFormat="1" x14ac:dyDescent="0.25">
      <c r="A2049" s="224">
        <v>525901882</v>
      </c>
      <c r="B2049" s="229" t="s">
        <v>4341</v>
      </c>
      <c r="C2049" s="224" t="s">
        <v>2547</v>
      </c>
      <c r="D2049" s="224" t="s">
        <v>3835</v>
      </c>
      <c r="E2049" s="224" t="s">
        <v>4342</v>
      </c>
      <c r="F2049" s="224"/>
      <c r="G2049" s="224"/>
      <c r="H2049" s="224"/>
      <c r="I2049" s="224" t="s">
        <v>249</v>
      </c>
      <c r="J2049" s="224"/>
    </row>
    <row r="2050" spans="1:10" s="230" customFormat="1" x14ac:dyDescent="0.25">
      <c r="A2050" s="224">
        <v>525200499</v>
      </c>
      <c r="B2050" s="229" t="s">
        <v>4343</v>
      </c>
      <c r="C2050" s="224" t="s">
        <v>4344</v>
      </c>
      <c r="D2050" s="224" t="s">
        <v>1212</v>
      </c>
      <c r="E2050" s="224" t="s">
        <v>4345</v>
      </c>
      <c r="F2050" s="224"/>
      <c r="G2050" s="224"/>
      <c r="H2050" s="224"/>
      <c r="I2050" s="224" t="s">
        <v>3594</v>
      </c>
      <c r="J2050" s="224"/>
    </row>
    <row r="2051" spans="1:10" s="230" customFormat="1" x14ac:dyDescent="0.25">
      <c r="A2051" s="224">
        <v>525901800</v>
      </c>
      <c r="B2051" s="229" t="s">
        <v>4346</v>
      </c>
      <c r="C2051" s="224" t="s">
        <v>2313</v>
      </c>
      <c r="D2051" s="224" t="s">
        <v>2488</v>
      </c>
      <c r="E2051" s="224" t="s">
        <v>4347</v>
      </c>
      <c r="F2051" s="224"/>
      <c r="G2051" s="224"/>
      <c r="H2051" s="224"/>
      <c r="I2051" s="224" t="s">
        <v>249</v>
      </c>
      <c r="J2051" s="224"/>
    </row>
    <row r="2052" spans="1:10" s="230" customFormat="1" x14ac:dyDescent="0.25">
      <c r="A2052" s="224">
        <v>525401487</v>
      </c>
      <c r="B2052" s="229" t="s">
        <v>4348</v>
      </c>
      <c r="C2052" s="224" t="s">
        <v>1981</v>
      </c>
      <c r="D2052" s="224" t="s">
        <v>3042</v>
      </c>
      <c r="E2052" s="224" t="s">
        <v>4349</v>
      </c>
      <c r="F2052" s="224"/>
      <c r="G2052" s="224"/>
      <c r="H2052" s="224"/>
      <c r="I2052" s="224" t="s">
        <v>591</v>
      </c>
      <c r="J2052" s="224"/>
    </row>
    <row r="2053" spans="1:10" s="230" customFormat="1" x14ac:dyDescent="0.25">
      <c r="A2053" s="224">
        <v>636023135</v>
      </c>
      <c r="B2053" s="229" t="s">
        <v>4350</v>
      </c>
      <c r="C2053" s="224">
        <v>159</v>
      </c>
      <c r="D2053" s="224">
        <v>14357</v>
      </c>
      <c r="E2053" s="224">
        <v>5.7</v>
      </c>
      <c r="F2053" s="224"/>
      <c r="G2053" s="224"/>
      <c r="H2053" s="224"/>
      <c r="I2053" s="224" t="s">
        <v>262</v>
      </c>
      <c r="J2053" s="224"/>
    </row>
    <row r="2054" spans="1:10" s="230" customFormat="1" x14ac:dyDescent="0.25">
      <c r="A2054" s="224">
        <v>636023780</v>
      </c>
      <c r="B2054" s="229" t="s">
        <v>4351</v>
      </c>
      <c r="C2054" s="224">
        <v>183.2</v>
      </c>
      <c r="D2054" s="224">
        <v>30453</v>
      </c>
      <c r="E2054" s="224">
        <v>11.6</v>
      </c>
      <c r="F2054" s="224"/>
      <c r="G2054" s="224"/>
      <c r="H2054" s="224"/>
      <c r="I2054" s="224" t="s">
        <v>817</v>
      </c>
      <c r="J2054" s="224"/>
    </row>
    <row r="2055" spans="1:10" s="230" customFormat="1" x14ac:dyDescent="0.25">
      <c r="A2055" s="224">
        <v>525018369</v>
      </c>
      <c r="B2055" s="229" t="s">
        <v>4352</v>
      </c>
      <c r="C2055" s="224" t="s">
        <v>2242</v>
      </c>
      <c r="D2055" s="224" t="s">
        <v>4353</v>
      </c>
      <c r="E2055" s="224" t="s">
        <v>4354</v>
      </c>
      <c r="F2055" s="224"/>
      <c r="G2055" s="224"/>
      <c r="H2055" s="224"/>
      <c r="I2055" s="224" t="s">
        <v>39</v>
      </c>
      <c r="J2055" s="224"/>
    </row>
    <row r="2056" spans="1:10" s="230" customFormat="1" x14ac:dyDescent="0.25">
      <c r="A2056" s="224">
        <v>357417000</v>
      </c>
      <c r="B2056" s="229" t="s">
        <v>4355</v>
      </c>
      <c r="C2056" s="224">
        <v>97</v>
      </c>
      <c r="D2056" s="224">
        <v>19815</v>
      </c>
      <c r="E2056" s="224">
        <v>9.1</v>
      </c>
      <c r="F2056" s="224"/>
      <c r="G2056" s="224"/>
      <c r="H2056" s="224"/>
      <c r="I2056" s="224"/>
      <c r="J2056" s="224"/>
    </row>
    <row r="2057" spans="1:10" s="230" customFormat="1" x14ac:dyDescent="0.25">
      <c r="A2057" s="224">
        <v>525801468</v>
      </c>
      <c r="B2057" s="229" t="s">
        <v>4356</v>
      </c>
      <c r="C2057" s="224">
        <v>129</v>
      </c>
      <c r="D2057" s="224">
        <v>10406</v>
      </c>
      <c r="E2057" s="224">
        <v>6.3</v>
      </c>
      <c r="F2057" s="224"/>
      <c r="G2057" s="224"/>
      <c r="H2057" s="224"/>
      <c r="I2057" s="224" t="s">
        <v>41</v>
      </c>
      <c r="J2057" s="224"/>
    </row>
    <row r="2058" spans="1:10" s="230" customFormat="1" x14ac:dyDescent="0.25">
      <c r="A2058" s="224">
        <v>533170317</v>
      </c>
      <c r="B2058" s="229" t="s">
        <v>4357</v>
      </c>
      <c r="C2058" s="224" t="s">
        <v>2547</v>
      </c>
      <c r="D2058" s="224" t="s">
        <v>3745</v>
      </c>
      <c r="E2058" s="224" t="s">
        <v>4358</v>
      </c>
      <c r="F2058" s="224"/>
      <c r="G2058" s="224"/>
      <c r="H2058" s="224"/>
      <c r="I2058" s="224" t="s">
        <v>262</v>
      </c>
      <c r="J2058" s="224"/>
    </row>
    <row r="2059" spans="1:10" s="230" customFormat="1" x14ac:dyDescent="0.25">
      <c r="A2059" s="224">
        <v>525801078</v>
      </c>
      <c r="B2059" s="229" t="s">
        <v>4359</v>
      </c>
      <c r="C2059" s="224">
        <v>114</v>
      </c>
      <c r="D2059" s="224">
        <v>5453</v>
      </c>
      <c r="E2059" s="224" t="s">
        <v>1256</v>
      </c>
      <c r="F2059" s="224"/>
      <c r="G2059" s="224"/>
      <c r="H2059" s="224"/>
      <c r="I2059" s="224"/>
      <c r="J2059" s="224"/>
    </row>
    <row r="2060" spans="1:10" s="230" customFormat="1" x14ac:dyDescent="0.25">
      <c r="A2060" s="224">
        <v>525901626</v>
      </c>
      <c r="B2060" s="229" t="s">
        <v>4360</v>
      </c>
      <c r="C2060" s="224" t="s">
        <v>1164</v>
      </c>
      <c r="D2060" s="224" t="s">
        <v>3758</v>
      </c>
      <c r="E2060" s="224" t="s">
        <v>2838</v>
      </c>
      <c r="F2060" s="224"/>
      <c r="G2060" s="224"/>
      <c r="H2060" s="224"/>
      <c r="I2060" s="224" t="s">
        <v>46</v>
      </c>
      <c r="J2060" s="224"/>
    </row>
    <row r="2061" spans="1:10" s="230" customFormat="1" x14ac:dyDescent="0.25">
      <c r="A2061" s="224">
        <v>352582000</v>
      </c>
      <c r="B2061" s="229" t="s">
        <v>4361</v>
      </c>
      <c r="C2061" s="224">
        <v>228.99</v>
      </c>
      <c r="D2061" s="224">
        <v>43083</v>
      </c>
      <c r="E2061" s="224">
        <v>12.2</v>
      </c>
      <c r="F2061" s="224"/>
      <c r="G2061" s="224"/>
      <c r="H2061" s="224"/>
      <c r="I2061" s="224" t="s">
        <v>160</v>
      </c>
      <c r="J2061" s="224"/>
    </row>
    <row r="2062" spans="1:10" s="230" customFormat="1" x14ac:dyDescent="0.25">
      <c r="A2062" s="224">
        <v>353664000</v>
      </c>
      <c r="B2062" s="229" t="s">
        <v>4362</v>
      </c>
      <c r="C2062" s="224">
        <v>189</v>
      </c>
      <c r="D2062" s="224">
        <v>32370</v>
      </c>
      <c r="E2062" s="224">
        <v>6.5</v>
      </c>
      <c r="F2062" s="224"/>
      <c r="G2062" s="224"/>
      <c r="H2062" s="224"/>
      <c r="I2062" s="224" t="s">
        <v>154</v>
      </c>
      <c r="J2062" s="224"/>
    </row>
    <row r="2063" spans="1:10" s="230" customFormat="1" x14ac:dyDescent="0.25">
      <c r="A2063" s="224">
        <v>636023974</v>
      </c>
      <c r="B2063" s="229" t="s">
        <v>4363</v>
      </c>
      <c r="C2063" s="224">
        <v>199.99</v>
      </c>
      <c r="D2063" s="224">
        <v>35873</v>
      </c>
      <c r="E2063" s="224">
        <v>6.98</v>
      </c>
      <c r="F2063" s="224"/>
      <c r="G2063" s="224"/>
      <c r="H2063" s="224"/>
      <c r="I2063" s="224" t="s">
        <v>154</v>
      </c>
      <c r="J2063" s="224"/>
    </row>
    <row r="2064" spans="1:10" s="230" customFormat="1" x14ac:dyDescent="0.25">
      <c r="A2064" s="224">
        <v>215678000</v>
      </c>
      <c r="B2064" s="229" t="s">
        <v>4364</v>
      </c>
      <c r="C2064" s="224">
        <v>22907</v>
      </c>
      <c r="D2064" s="224">
        <v>4635</v>
      </c>
      <c r="E2064" s="224">
        <v>7.28</v>
      </c>
      <c r="F2064" s="224"/>
      <c r="G2064" s="224"/>
      <c r="H2064" s="224"/>
      <c r="I2064" s="224" t="s">
        <v>248</v>
      </c>
      <c r="J2064" s="224"/>
    </row>
    <row r="2065" spans="1:10" s="230" customFormat="1" x14ac:dyDescent="0.25">
      <c r="A2065" s="224">
        <v>257033170</v>
      </c>
      <c r="B2065" s="229" t="s">
        <v>4365</v>
      </c>
      <c r="C2065" s="224">
        <v>182</v>
      </c>
      <c r="D2065" s="224">
        <v>27472</v>
      </c>
      <c r="E2065" s="224">
        <v>8.65</v>
      </c>
      <c r="F2065" s="224"/>
      <c r="G2065" s="224"/>
      <c r="H2065" s="224"/>
      <c r="I2065" s="224" t="s">
        <v>516</v>
      </c>
      <c r="J2065" s="224"/>
    </row>
    <row r="2066" spans="1:10" s="230" customFormat="1" x14ac:dyDescent="0.25">
      <c r="A2066" s="224">
        <v>525901587</v>
      </c>
      <c r="B2066" s="229" t="s">
        <v>4366</v>
      </c>
      <c r="C2066" s="224" t="s">
        <v>478</v>
      </c>
      <c r="D2066" s="224" t="s">
        <v>4367</v>
      </c>
      <c r="E2066" s="224" t="s">
        <v>4368</v>
      </c>
      <c r="F2066" s="224"/>
      <c r="G2066" s="224"/>
      <c r="H2066" s="224"/>
      <c r="I2066" s="224" t="s">
        <v>1976</v>
      </c>
      <c r="J2066" s="224"/>
    </row>
    <row r="2067" spans="1:10" s="230" customFormat="1" x14ac:dyDescent="0.25">
      <c r="A2067" s="224">
        <v>525601356</v>
      </c>
      <c r="B2067" s="229" t="s">
        <v>4369</v>
      </c>
      <c r="C2067" s="224" t="s">
        <v>1164</v>
      </c>
      <c r="D2067" s="224" t="s">
        <v>3758</v>
      </c>
      <c r="E2067" s="224" t="s">
        <v>2838</v>
      </c>
      <c r="F2067" s="224"/>
      <c r="G2067" s="224"/>
      <c r="H2067" s="224"/>
      <c r="I2067" s="224"/>
      <c r="J2067" s="224"/>
    </row>
    <row r="2068" spans="1:10" s="230" customFormat="1" x14ac:dyDescent="0.25">
      <c r="A2068" s="224">
        <v>563046100</v>
      </c>
      <c r="B2068" s="229" t="s">
        <v>4370</v>
      </c>
      <c r="C2068" s="224">
        <v>159</v>
      </c>
      <c r="D2068" s="224">
        <v>16489</v>
      </c>
      <c r="E2068" s="224">
        <v>7.5</v>
      </c>
      <c r="F2068" s="224"/>
      <c r="G2068" s="224"/>
      <c r="H2068" s="224"/>
      <c r="I2068" s="224" t="s">
        <v>817</v>
      </c>
      <c r="J2068" s="224"/>
    </row>
    <row r="2069" spans="1:10" s="230" customFormat="1" x14ac:dyDescent="0.25">
      <c r="A2069" s="224">
        <v>371552000</v>
      </c>
      <c r="B2069" s="229" t="s">
        <v>4371</v>
      </c>
      <c r="C2069" s="224">
        <v>180</v>
      </c>
      <c r="D2069" s="224">
        <v>29236</v>
      </c>
      <c r="E2069" s="224">
        <v>10.7</v>
      </c>
      <c r="F2069" s="224"/>
      <c r="G2069" s="224"/>
      <c r="H2069" s="224"/>
      <c r="I2069" s="224" t="s">
        <v>414</v>
      </c>
      <c r="J2069" s="224"/>
    </row>
    <row r="2070" spans="1:10" s="230" customFormat="1" x14ac:dyDescent="0.25">
      <c r="A2070" s="224">
        <v>352005625</v>
      </c>
      <c r="B2070" s="229" t="s">
        <v>4372</v>
      </c>
      <c r="C2070" s="224">
        <v>225</v>
      </c>
      <c r="D2070" s="224">
        <v>39738</v>
      </c>
      <c r="E2070" s="224">
        <v>7.2</v>
      </c>
      <c r="F2070" s="224"/>
      <c r="G2070" s="224"/>
      <c r="H2070" s="224"/>
      <c r="I2070" s="224" t="s">
        <v>154</v>
      </c>
      <c r="J2070" s="224"/>
    </row>
    <row r="2071" spans="1:10" s="230" customFormat="1" x14ac:dyDescent="0.25">
      <c r="A2071" s="224">
        <v>352004891</v>
      </c>
      <c r="B2071" s="229" t="s">
        <v>4373</v>
      </c>
      <c r="C2071" s="224">
        <v>139.9</v>
      </c>
      <c r="D2071" s="224">
        <v>13179</v>
      </c>
      <c r="E2071" s="224">
        <v>5.54</v>
      </c>
      <c r="F2071" s="224"/>
      <c r="G2071" s="224"/>
      <c r="H2071" s="224"/>
      <c r="I2071" s="224" t="s">
        <v>414</v>
      </c>
      <c r="J2071" s="224"/>
    </row>
    <row r="2072" spans="1:10" s="230" customFormat="1" x14ac:dyDescent="0.25">
      <c r="A2072" s="224">
        <v>413603590</v>
      </c>
      <c r="B2072" s="229" t="s">
        <v>4374</v>
      </c>
      <c r="C2072" s="224">
        <v>138.72999999999999</v>
      </c>
      <c r="D2072" s="224">
        <v>9045</v>
      </c>
      <c r="E2072" s="224">
        <v>7.4</v>
      </c>
      <c r="F2072" s="224"/>
      <c r="G2072" s="224"/>
      <c r="H2072" s="224"/>
      <c r="I2072" s="224" t="s">
        <v>2096</v>
      </c>
      <c r="J2072" s="224"/>
    </row>
    <row r="2073" spans="1:10" s="230" customFormat="1" x14ac:dyDescent="0.25">
      <c r="A2073" s="224">
        <v>574003380</v>
      </c>
      <c r="B2073" s="229" t="s">
        <v>4375</v>
      </c>
      <c r="C2073" s="224">
        <v>169.8</v>
      </c>
      <c r="D2073" s="224">
        <v>17019</v>
      </c>
      <c r="E2073" s="224">
        <v>5.7</v>
      </c>
      <c r="F2073" s="224"/>
      <c r="G2073" s="224"/>
      <c r="H2073" s="224"/>
      <c r="I2073" s="224" t="s">
        <v>154</v>
      </c>
      <c r="J2073" s="224"/>
    </row>
    <row r="2074" spans="1:10" s="230" customFormat="1" x14ac:dyDescent="0.25">
      <c r="A2074" s="224">
        <v>477692900</v>
      </c>
      <c r="B2074" s="229" t="s">
        <v>4376</v>
      </c>
      <c r="C2074" s="224">
        <v>179.97</v>
      </c>
      <c r="D2074" s="224">
        <v>23506</v>
      </c>
      <c r="E2074" s="224">
        <v>10.3</v>
      </c>
      <c r="F2074" s="224"/>
      <c r="G2074" s="224"/>
      <c r="H2074" s="224"/>
      <c r="I2074" s="224" t="s">
        <v>4377</v>
      </c>
      <c r="J2074" s="224"/>
    </row>
    <row r="2075" spans="1:10" s="230" customFormat="1" x14ac:dyDescent="0.25">
      <c r="A2075" s="224">
        <v>253639000</v>
      </c>
      <c r="B2075" s="229" t="s">
        <v>4378</v>
      </c>
      <c r="C2075" s="224">
        <v>133</v>
      </c>
      <c r="D2075" s="224">
        <v>7727</v>
      </c>
      <c r="E2075" s="224">
        <v>5.6</v>
      </c>
      <c r="F2075" s="224"/>
      <c r="G2075" s="224"/>
      <c r="H2075" s="224"/>
      <c r="I2075" s="224"/>
      <c r="J2075" s="224"/>
    </row>
    <row r="2076" spans="1:10" s="230" customFormat="1" x14ac:dyDescent="0.25">
      <c r="A2076" s="224">
        <v>525700527</v>
      </c>
      <c r="B2076" s="229" t="s">
        <v>4380</v>
      </c>
      <c r="C2076" s="224" t="s">
        <v>1983</v>
      </c>
      <c r="D2076" s="224" t="s">
        <v>4381</v>
      </c>
      <c r="E2076" s="224" t="s">
        <v>4382</v>
      </c>
      <c r="F2076" s="224"/>
      <c r="G2076" s="224"/>
      <c r="H2076" s="224"/>
      <c r="I2076" s="224" t="s">
        <v>96</v>
      </c>
      <c r="J2076" s="224"/>
    </row>
    <row r="2077" spans="1:10" s="230" customFormat="1" x14ac:dyDescent="0.25">
      <c r="A2077" s="224">
        <v>209914000</v>
      </c>
      <c r="B2077" s="229" t="s">
        <v>4383</v>
      </c>
      <c r="C2077" s="224">
        <v>235</v>
      </c>
      <c r="D2077" s="224">
        <v>50647</v>
      </c>
      <c r="E2077" s="224">
        <v>7.01</v>
      </c>
      <c r="F2077" s="224"/>
      <c r="G2077" s="224"/>
      <c r="H2077" s="224"/>
      <c r="I2077" s="224"/>
      <c r="J2077" s="224"/>
    </row>
    <row r="2078" spans="1:10" s="230" customFormat="1" x14ac:dyDescent="0.25">
      <c r="A2078" s="224">
        <v>563184400</v>
      </c>
      <c r="B2078" s="229" t="s">
        <v>4384</v>
      </c>
      <c r="C2078" s="224">
        <v>215</v>
      </c>
      <c r="D2078" s="224">
        <v>57544</v>
      </c>
      <c r="E2078" s="224">
        <v>11.17</v>
      </c>
      <c r="F2078" s="224"/>
      <c r="G2078" s="224"/>
      <c r="H2078" s="224"/>
      <c r="I2078" s="224"/>
      <c r="J2078" s="224"/>
    </row>
    <row r="2079" spans="1:10" s="230" customFormat="1" x14ac:dyDescent="0.25">
      <c r="A2079" s="224">
        <v>525101170</v>
      </c>
      <c r="B2079" s="229" t="s">
        <v>4385</v>
      </c>
      <c r="C2079" s="224">
        <v>50</v>
      </c>
      <c r="D2079" s="224" t="s">
        <v>79</v>
      </c>
      <c r="E2079" s="224">
        <v>2.5</v>
      </c>
      <c r="F2079" s="224"/>
      <c r="G2079" s="224"/>
      <c r="H2079" s="224"/>
      <c r="I2079" s="224" t="s">
        <v>3814</v>
      </c>
      <c r="J2079" s="224"/>
    </row>
    <row r="2080" spans="1:10" s="230" customFormat="1" x14ac:dyDescent="0.25">
      <c r="A2080" s="224">
        <v>538011029</v>
      </c>
      <c r="B2080" s="229" t="s">
        <v>4386</v>
      </c>
      <c r="C2080" s="224">
        <v>6.7</v>
      </c>
      <c r="D2080" s="224">
        <v>12908</v>
      </c>
      <c r="E2080" s="224">
        <v>9.5</v>
      </c>
      <c r="F2080" s="224"/>
      <c r="G2080" s="224"/>
      <c r="H2080" s="224"/>
      <c r="I2080" s="224" t="s">
        <v>160</v>
      </c>
      <c r="J2080" s="224"/>
    </row>
    <row r="2081" spans="1:10" s="230" customFormat="1" x14ac:dyDescent="0.25">
      <c r="A2081" s="224">
        <v>636022979</v>
      </c>
      <c r="B2081" s="229" t="s">
        <v>4387</v>
      </c>
      <c r="C2081" s="224">
        <v>164.34</v>
      </c>
      <c r="D2081" s="224">
        <v>12.776</v>
      </c>
      <c r="E2081" s="224">
        <v>9.6999999999999993</v>
      </c>
      <c r="F2081" s="224"/>
      <c r="G2081" s="224"/>
      <c r="H2081" s="224"/>
      <c r="I2081" s="224"/>
      <c r="J2081" s="224"/>
    </row>
    <row r="2082" spans="1:10" s="230" customFormat="1" x14ac:dyDescent="0.25">
      <c r="A2082" s="224">
        <v>477633300</v>
      </c>
      <c r="B2082" s="229" t="s">
        <v>4388</v>
      </c>
      <c r="C2082" s="224">
        <v>175.53</v>
      </c>
      <c r="D2082" s="224">
        <v>19796</v>
      </c>
      <c r="E2082" s="224">
        <v>5.8</v>
      </c>
      <c r="F2082" s="224"/>
      <c r="G2082" s="224"/>
      <c r="H2082" s="224"/>
      <c r="I2082" s="224" t="s">
        <v>71</v>
      </c>
      <c r="J2082" s="224"/>
    </row>
    <row r="2083" spans="1:10" s="230" customFormat="1" x14ac:dyDescent="0.25">
      <c r="A2083" s="224">
        <v>525010082</v>
      </c>
      <c r="B2083" s="229" t="s">
        <v>4389</v>
      </c>
      <c r="C2083" s="224">
        <v>79</v>
      </c>
      <c r="D2083" s="224">
        <v>1741</v>
      </c>
      <c r="E2083" s="224">
        <v>3.9</v>
      </c>
      <c r="F2083" s="224"/>
      <c r="G2083" s="224"/>
      <c r="H2083" s="224"/>
      <c r="I2083" s="224" t="s">
        <v>2304</v>
      </c>
      <c r="J2083" s="224"/>
    </row>
    <row r="2084" spans="1:10" s="230" customFormat="1" x14ac:dyDescent="0.25">
      <c r="A2084" s="224">
        <v>636025739</v>
      </c>
      <c r="B2084" s="229" t="s">
        <v>4390</v>
      </c>
      <c r="C2084" s="224">
        <v>190</v>
      </c>
      <c r="D2084" s="224">
        <v>3298</v>
      </c>
      <c r="E2084" s="224">
        <v>6.5</v>
      </c>
      <c r="F2084" s="224"/>
      <c r="G2084" s="224"/>
      <c r="H2084" s="224"/>
      <c r="I2084" s="224" t="s">
        <v>4391</v>
      </c>
      <c r="J2084" s="224"/>
    </row>
    <row r="2085" spans="1:10" s="230" customFormat="1" x14ac:dyDescent="0.25">
      <c r="A2085" s="224">
        <v>372343000</v>
      </c>
      <c r="B2085" s="229" t="s">
        <v>4392</v>
      </c>
      <c r="C2085" s="224">
        <v>113.98</v>
      </c>
      <c r="D2085" s="224">
        <v>5457</v>
      </c>
      <c r="E2085" s="224">
        <v>5.6</v>
      </c>
      <c r="F2085" s="224"/>
      <c r="G2085" s="224"/>
      <c r="H2085" s="224"/>
      <c r="I2085" s="224"/>
      <c r="J2085" s="224"/>
    </row>
    <row r="2086" spans="1:10" s="230" customFormat="1" x14ac:dyDescent="0.25">
      <c r="A2086" s="224">
        <v>525901161</v>
      </c>
      <c r="B2086" s="229" t="s">
        <v>4393</v>
      </c>
      <c r="C2086" s="224">
        <v>134.5</v>
      </c>
      <c r="D2086" s="224">
        <v>8317</v>
      </c>
      <c r="E2086" s="224">
        <v>6.7</v>
      </c>
      <c r="F2086" s="224"/>
      <c r="G2086" s="224"/>
      <c r="H2086" s="224"/>
      <c r="I2086" s="224" t="s">
        <v>1584</v>
      </c>
      <c r="J2086" s="224"/>
    </row>
    <row r="2087" spans="1:10" s="230" customFormat="1" x14ac:dyDescent="0.25">
      <c r="A2087" s="224">
        <v>525100327</v>
      </c>
      <c r="B2087" s="229" t="s">
        <v>4394</v>
      </c>
      <c r="C2087" s="224">
        <v>166</v>
      </c>
      <c r="D2087" s="224">
        <v>19600</v>
      </c>
      <c r="E2087" s="224">
        <v>6.6</v>
      </c>
      <c r="F2087" s="224"/>
      <c r="G2087" s="224"/>
      <c r="H2087" s="224"/>
      <c r="I2087" s="224" t="s">
        <v>48</v>
      </c>
      <c r="J2087" s="224"/>
    </row>
    <row r="2088" spans="1:10" s="230" customFormat="1" x14ac:dyDescent="0.25">
      <c r="A2088" s="224">
        <v>525107108</v>
      </c>
      <c r="B2088" s="229" t="s">
        <v>4395</v>
      </c>
      <c r="C2088" s="224">
        <v>124</v>
      </c>
      <c r="D2088" s="224">
        <v>7098</v>
      </c>
      <c r="E2088" s="224">
        <v>7.4</v>
      </c>
      <c r="F2088" s="224"/>
      <c r="G2088" s="224"/>
      <c r="H2088" s="224"/>
      <c r="I2088" s="224" t="s">
        <v>516</v>
      </c>
      <c r="J2088" s="224"/>
    </row>
    <row r="2089" spans="1:10" s="230" customFormat="1" x14ac:dyDescent="0.25">
      <c r="A2089" s="224">
        <v>525601448</v>
      </c>
      <c r="B2089" s="229" t="s">
        <v>4396</v>
      </c>
      <c r="C2089" s="224">
        <v>38</v>
      </c>
      <c r="D2089" s="224">
        <v>298</v>
      </c>
      <c r="E2089" s="224">
        <v>4.3</v>
      </c>
      <c r="F2089" s="224"/>
      <c r="G2089" s="224"/>
      <c r="H2089" s="224"/>
      <c r="I2089" s="224"/>
      <c r="J2089" s="224"/>
    </row>
    <row r="2090" spans="1:10" s="230" customFormat="1" x14ac:dyDescent="0.25">
      <c r="A2090" s="224">
        <v>525119225</v>
      </c>
      <c r="B2090" s="229" t="s">
        <v>4397</v>
      </c>
      <c r="C2090" s="224" t="s">
        <v>4398</v>
      </c>
      <c r="D2090" s="224" t="s">
        <v>4399</v>
      </c>
      <c r="E2090" s="224" t="s">
        <v>3979</v>
      </c>
      <c r="F2090" s="224"/>
      <c r="G2090" s="224"/>
      <c r="H2090" s="224"/>
      <c r="I2090" s="224" t="s">
        <v>1432</v>
      </c>
      <c r="J2090" s="224"/>
    </row>
    <row r="2091" spans="1:10" s="230" customFormat="1" x14ac:dyDescent="0.25">
      <c r="A2091" s="224">
        <v>477162800</v>
      </c>
      <c r="B2091" s="229" t="s">
        <v>4400</v>
      </c>
      <c r="C2091" s="224">
        <v>199.9</v>
      </c>
      <c r="D2091" s="224">
        <v>36415</v>
      </c>
      <c r="E2091" s="224">
        <v>7.6</v>
      </c>
      <c r="F2091" s="224"/>
      <c r="G2091" s="224"/>
      <c r="H2091" s="224"/>
      <c r="I2091" s="224" t="s">
        <v>262</v>
      </c>
      <c r="J2091" s="224"/>
    </row>
    <row r="2092" spans="1:10" s="230" customFormat="1" x14ac:dyDescent="0.25">
      <c r="A2092" s="224">
        <v>414873000</v>
      </c>
      <c r="B2092" s="229" t="s">
        <v>4401</v>
      </c>
      <c r="C2092" s="224">
        <v>229</v>
      </c>
      <c r="D2092" s="224">
        <v>45271</v>
      </c>
      <c r="E2092" s="224">
        <v>14.5</v>
      </c>
      <c r="F2092" s="224"/>
      <c r="G2092" s="224"/>
      <c r="H2092" s="224"/>
      <c r="I2092" s="224" t="s">
        <v>154</v>
      </c>
      <c r="J2092" s="224"/>
    </row>
    <row r="2093" spans="1:10" s="230" customFormat="1" x14ac:dyDescent="0.25">
      <c r="A2093" s="224">
        <v>525010059</v>
      </c>
      <c r="B2093" s="229" t="s">
        <v>4402</v>
      </c>
      <c r="C2093" s="224">
        <v>105</v>
      </c>
      <c r="D2093" s="224">
        <v>2997</v>
      </c>
      <c r="E2093" s="224">
        <v>5.8</v>
      </c>
      <c r="F2093" s="224"/>
      <c r="G2093" s="224"/>
      <c r="H2093" s="224"/>
      <c r="I2093" s="224" t="s">
        <v>4403</v>
      </c>
      <c r="J2093" s="224"/>
    </row>
    <row r="2094" spans="1:10" s="230" customFormat="1" x14ac:dyDescent="0.25">
      <c r="A2094" s="224">
        <v>525007412</v>
      </c>
      <c r="B2094" s="229" t="s">
        <v>4404</v>
      </c>
      <c r="C2094" s="224" t="s">
        <v>4405</v>
      </c>
      <c r="D2094" s="224" t="s">
        <v>4406</v>
      </c>
      <c r="E2094" s="224" t="s">
        <v>4407</v>
      </c>
      <c r="F2094" s="224"/>
      <c r="G2094" s="224"/>
      <c r="H2094" s="224"/>
      <c r="I2094" s="224" t="s">
        <v>1663</v>
      </c>
      <c r="J2094" s="224"/>
    </row>
    <row r="2095" spans="1:10" s="230" customFormat="1" x14ac:dyDescent="0.25">
      <c r="A2095" s="224">
        <v>525401398</v>
      </c>
      <c r="B2095" s="229" t="s">
        <v>4408</v>
      </c>
      <c r="C2095" s="224">
        <v>42</v>
      </c>
      <c r="D2095" s="224">
        <v>244</v>
      </c>
      <c r="E2095" s="224">
        <v>2</v>
      </c>
      <c r="F2095" s="224"/>
      <c r="G2095" s="224"/>
      <c r="H2095" s="224"/>
      <c r="I2095" s="224" t="s">
        <v>260</v>
      </c>
      <c r="J2095" s="224"/>
    </row>
    <row r="2096" spans="1:10" s="230" customFormat="1" x14ac:dyDescent="0.25">
      <c r="A2096" s="224">
        <v>538009752</v>
      </c>
      <c r="B2096" s="229" t="s">
        <v>4409</v>
      </c>
      <c r="C2096" s="224">
        <v>200</v>
      </c>
      <c r="D2096" s="224"/>
      <c r="E2096" s="224">
        <v>12.1</v>
      </c>
      <c r="F2096" s="224"/>
      <c r="G2096" s="224"/>
      <c r="H2096" s="224"/>
      <c r="I2096" s="224"/>
      <c r="J2096" s="224"/>
    </row>
    <row r="2097" spans="1:10" s="230" customFormat="1" x14ac:dyDescent="0.25">
      <c r="A2097" s="224">
        <v>352005467</v>
      </c>
      <c r="B2097" s="229" t="s">
        <v>4410</v>
      </c>
      <c r="C2097" s="224">
        <v>179</v>
      </c>
      <c r="D2097" s="224">
        <v>25087</v>
      </c>
      <c r="E2097" s="224">
        <v>7.5</v>
      </c>
      <c r="F2097" s="224"/>
      <c r="G2097" s="224"/>
      <c r="H2097" s="224"/>
      <c r="I2097" s="224" t="s">
        <v>160</v>
      </c>
      <c r="J2097" s="224"/>
    </row>
    <row r="2098" spans="1:10" s="230" customFormat="1" x14ac:dyDescent="0.25">
      <c r="A2098" s="224">
        <v>538007139</v>
      </c>
      <c r="B2098" s="229" t="s">
        <v>4411</v>
      </c>
      <c r="C2098" s="224">
        <v>229</v>
      </c>
      <c r="D2098" s="224">
        <v>44113</v>
      </c>
      <c r="E2098" s="224">
        <v>11.4</v>
      </c>
      <c r="F2098" s="224"/>
      <c r="G2098" s="224"/>
      <c r="H2098" s="224"/>
      <c r="I2098" s="224" t="s">
        <v>248</v>
      </c>
      <c r="J2098" s="224"/>
    </row>
    <row r="2099" spans="1:10" s="230" customFormat="1" x14ac:dyDescent="0.25">
      <c r="A2099" s="224">
        <v>567647000</v>
      </c>
      <c r="B2099" s="229" t="s">
        <v>4412</v>
      </c>
      <c r="C2099" s="224">
        <v>9337</v>
      </c>
      <c r="D2099" s="224">
        <v>2612</v>
      </c>
      <c r="E2099" s="224">
        <v>4.7</v>
      </c>
      <c r="F2099" s="224"/>
      <c r="G2099" s="224"/>
      <c r="H2099" s="224"/>
      <c r="I2099" s="224" t="s">
        <v>1895</v>
      </c>
      <c r="J2099" s="224"/>
    </row>
    <row r="2100" spans="1:10" s="230" customFormat="1" x14ac:dyDescent="0.25">
      <c r="A2100" s="224">
        <v>525901922</v>
      </c>
      <c r="B2100" s="229" t="s">
        <v>4413</v>
      </c>
      <c r="C2100" s="224" t="s">
        <v>4414</v>
      </c>
      <c r="D2100" s="224" t="s">
        <v>3835</v>
      </c>
      <c r="E2100" s="224" t="s">
        <v>4415</v>
      </c>
      <c r="F2100" s="224"/>
      <c r="G2100" s="224"/>
      <c r="H2100" s="224"/>
      <c r="I2100" s="224" t="s">
        <v>249</v>
      </c>
      <c r="J2100" s="224"/>
    </row>
    <row r="2101" spans="1:10" s="230" customFormat="1" x14ac:dyDescent="0.25">
      <c r="A2101" s="224">
        <v>636024522</v>
      </c>
      <c r="B2101" s="229" t="s">
        <v>4416</v>
      </c>
      <c r="C2101" s="224">
        <v>179.9</v>
      </c>
      <c r="D2101" s="224">
        <v>23194</v>
      </c>
      <c r="E2101" s="224">
        <v>6.4</v>
      </c>
      <c r="F2101" s="224"/>
      <c r="G2101" s="224"/>
      <c r="H2101" s="224"/>
      <c r="I2101" s="224" t="s">
        <v>45</v>
      </c>
      <c r="J2101" s="224"/>
    </row>
    <row r="2102" spans="1:10" s="230" customFormat="1" x14ac:dyDescent="0.25">
      <c r="A2102" s="224">
        <v>636019968</v>
      </c>
      <c r="B2102" s="229" t="s">
        <v>4417</v>
      </c>
      <c r="C2102" s="224">
        <v>229</v>
      </c>
      <c r="D2102" s="224">
        <v>43829</v>
      </c>
      <c r="E2102" s="224">
        <v>14.09</v>
      </c>
      <c r="F2102" s="224"/>
      <c r="G2102" s="224"/>
      <c r="H2102" s="224"/>
      <c r="I2102" s="224" t="s">
        <v>154</v>
      </c>
      <c r="J2102" s="224"/>
    </row>
    <row r="2103" spans="1:10" s="230" customFormat="1" x14ac:dyDescent="0.25">
      <c r="A2103" s="224">
        <v>255806100</v>
      </c>
      <c r="B2103" s="229" t="s">
        <v>4418</v>
      </c>
      <c r="C2103" s="224">
        <v>17.97</v>
      </c>
      <c r="D2103" s="224">
        <v>12018</v>
      </c>
      <c r="E2103" s="224">
        <v>7.5</v>
      </c>
      <c r="F2103" s="224"/>
      <c r="G2103" s="224"/>
      <c r="H2103" s="224"/>
      <c r="I2103" s="224" t="s">
        <v>65</v>
      </c>
      <c r="J2103" s="224"/>
    </row>
    <row r="2104" spans="1:10" s="230" customFormat="1" x14ac:dyDescent="0.25">
      <c r="A2104" s="224">
        <v>235050012</v>
      </c>
      <c r="B2104" s="229" t="s">
        <v>4419</v>
      </c>
      <c r="C2104" s="224">
        <v>189.99</v>
      </c>
      <c r="D2104" s="224">
        <v>31238</v>
      </c>
      <c r="E2104" s="224">
        <v>6.2</v>
      </c>
      <c r="F2104" s="224"/>
      <c r="G2104" s="224"/>
      <c r="H2104" s="224"/>
      <c r="I2104" s="224" t="s">
        <v>154</v>
      </c>
      <c r="J2104" s="224"/>
    </row>
    <row r="2105" spans="1:10" s="230" customFormat="1" x14ac:dyDescent="0.25">
      <c r="A2105" s="224">
        <v>538007501</v>
      </c>
      <c r="B2105" s="229" t="s">
        <v>4420</v>
      </c>
      <c r="C2105" s="224">
        <v>229</v>
      </c>
      <c r="D2105" s="224">
        <v>49228</v>
      </c>
      <c r="E2105" s="224">
        <v>11.4</v>
      </c>
      <c r="F2105" s="224"/>
      <c r="G2105" s="224"/>
      <c r="H2105" s="224"/>
      <c r="I2105" s="224" t="s">
        <v>248</v>
      </c>
      <c r="J2105" s="224"/>
    </row>
    <row r="2106" spans="1:10" s="230" customFormat="1" x14ac:dyDescent="0.25">
      <c r="A2106" s="224">
        <v>525701119</v>
      </c>
      <c r="B2106" s="229" t="s">
        <v>4421</v>
      </c>
      <c r="C2106" s="224">
        <v>88</v>
      </c>
      <c r="D2106" s="224">
        <v>1853</v>
      </c>
      <c r="E2106" s="224">
        <v>2.5</v>
      </c>
      <c r="F2106" s="224"/>
      <c r="G2106" s="224"/>
      <c r="H2106" s="224"/>
      <c r="I2106" s="224" t="s">
        <v>96</v>
      </c>
      <c r="J2106" s="224"/>
    </row>
    <row r="2107" spans="1:10" s="230" customFormat="1" x14ac:dyDescent="0.25">
      <c r="A2107" s="224">
        <v>636021509</v>
      </c>
      <c r="B2107" s="229" t="s">
        <v>4422</v>
      </c>
      <c r="C2107" s="224">
        <v>180</v>
      </c>
      <c r="D2107" s="224">
        <v>30119</v>
      </c>
      <c r="E2107" s="224">
        <v>8.6999999999999993</v>
      </c>
      <c r="F2107" s="224"/>
      <c r="G2107" s="224"/>
      <c r="H2107" s="224"/>
      <c r="I2107" s="224" t="s">
        <v>160</v>
      </c>
      <c r="J2107" s="224"/>
    </row>
    <row r="2108" spans="1:10" s="230" customFormat="1" x14ac:dyDescent="0.25">
      <c r="A2108" s="224">
        <v>636025755</v>
      </c>
      <c r="B2108" s="229" t="s">
        <v>3913</v>
      </c>
      <c r="C2108" s="224">
        <v>200.07</v>
      </c>
      <c r="D2108" s="224">
        <v>35297</v>
      </c>
      <c r="E2108" s="224">
        <v>7.5</v>
      </c>
      <c r="F2108" s="224"/>
      <c r="G2108" s="224"/>
      <c r="H2108" s="224"/>
      <c r="I2108" s="224" t="s">
        <v>414</v>
      </c>
      <c r="J2108" s="224"/>
    </row>
    <row r="2109" spans="1:10" s="230" customFormat="1" x14ac:dyDescent="0.25">
      <c r="A2109" s="224">
        <v>525300597</v>
      </c>
      <c r="B2109" s="229" t="s">
        <v>4423</v>
      </c>
      <c r="C2109" s="224" t="s">
        <v>79</v>
      </c>
      <c r="D2109" s="224" t="s">
        <v>79</v>
      </c>
      <c r="E2109" s="224" t="s">
        <v>79</v>
      </c>
      <c r="F2109" s="224"/>
      <c r="G2109" s="224"/>
      <c r="H2109" s="224"/>
      <c r="I2109" s="224" t="s">
        <v>245</v>
      </c>
      <c r="J2109" s="224"/>
    </row>
    <row r="2110" spans="1:10" s="230" customFormat="1" x14ac:dyDescent="0.25">
      <c r="A2110" s="224">
        <v>525501831</v>
      </c>
      <c r="B2110" s="229" t="s">
        <v>4424</v>
      </c>
      <c r="C2110" s="224" t="s">
        <v>4425</v>
      </c>
      <c r="D2110" s="224" t="s">
        <v>4426</v>
      </c>
      <c r="E2110" s="224" t="s">
        <v>4427</v>
      </c>
      <c r="F2110" s="224"/>
      <c r="G2110" s="224"/>
      <c r="H2110" s="224"/>
      <c r="I2110" s="224" t="s">
        <v>4428</v>
      </c>
      <c r="J2110" s="224"/>
    </row>
    <row r="2111" spans="1:10" s="230" customFormat="1" x14ac:dyDescent="0.25">
      <c r="A2111" s="224">
        <v>441510000</v>
      </c>
      <c r="B2111" s="229" t="s">
        <v>4429</v>
      </c>
      <c r="C2111" s="224">
        <v>149.93</v>
      </c>
      <c r="D2111" s="224">
        <v>13.061</v>
      </c>
      <c r="E2111" s="224">
        <v>5.95</v>
      </c>
      <c r="F2111" s="224"/>
      <c r="G2111" s="224"/>
      <c r="H2111" s="224"/>
      <c r="I2111" s="224" t="s">
        <v>414</v>
      </c>
      <c r="J2111" s="224"/>
    </row>
    <row r="2112" spans="1:10" s="230" customFormat="1" x14ac:dyDescent="0.25">
      <c r="A2112" s="224">
        <v>525801811</v>
      </c>
      <c r="B2112" s="229" t="s">
        <v>4430</v>
      </c>
      <c r="C2112" s="224" t="s">
        <v>4431</v>
      </c>
      <c r="D2112" s="224" t="s">
        <v>4432</v>
      </c>
      <c r="E2112" s="224" t="s">
        <v>1800</v>
      </c>
      <c r="F2112" s="224"/>
      <c r="G2112" s="224"/>
      <c r="H2112" s="224"/>
      <c r="I2112" s="224" t="s">
        <v>245</v>
      </c>
      <c r="J2112" s="224"/>
    </row>
    <row r="2113" spans="1:10" s="230" customFormat="1" x14ac:dyDescent="0.25">
      <c r="A2113" s="224">
        <v>525101819</v>
      </c>
      <c r="B2113" s="229" t="s">
        <v>4433</v>
      </c>
      <c r="C2113" s="224">
        <v>100</v>
      </c>
      <c r="D2113" s="224">
        <v>5511</v>
      </c>
      <c r="E2113" s="224" t="s">
        <v>824</v>
      </c>
      <c r="F2113" s="224"/>
      <c r="G2113" s="224"/>
      <c r="H2113" s="224"/>
      <c r="I2113" s="224" t="s">
        <v>96</v>
      </c>
      <c r="J2113" s="224"/>
    </row>
    <row r="2114" spans="1:10" s="230" customFormat="1" x14ac:dyDescent="0.25">
      <c r="A2114" s="224">
        <v>525901893</v>
      </c>
      <c r="B2114" s="229" t="s">
        <v>4434</v>
      </c>
      <c r="C2114" s="224" t="s">
        <v>4154</v>
      </c>
      <c r="D2114" s="224" t="s">
        <v>4435</v>
      </c>
      <c r="E2114" s="224" t="s">
        <v>1685</v>
      </c>
      <c r="F2114" s="224"/>
      <c r="G2114" s="224"/>
      <c r="H2114" s="224"/>
      <c r="I2114" s="224" t="s">
        <v>4436</v>
      </c>
      <c r="J2114" s="224"/>
    </row>
    <row r="2115" spans="1:10" s="230" customFormat="1" x14ac:dyDescent="0.25">
      <c r="A2115" s="224">
        <v>525121081</v>
      </c>
      <c r="B2115" s="229" t="s">
        <v>4437</v>
      </c>
      <c r="C2115" s="224">
        <v>69.47</v>
      </c>
      <c r="D2115" s="224">
        <v>1956</v>
      </c>
      <c r="E2115" s="224">
        <v>4.5</v>
      </c>
      <c r="F2115" s="224"/>
      <c r="G2115" s="224"/>
      <c r="H2115" s="224"/>
      <c r="I2115" s="224" t="s">
        <v>96</v>
      </c>
      <c r="J2115" s="224"/>
    </row>
    <row r="2116" spans="1:10" s="230" customFormat="1" x14ac:dyDescent="0.25">
      <c r="A2116" s="224">
        <v>525121087</v>
      </c>
      <c r="B2116" s="229" t="s">
        <v>4438</v>
      </c>
      <c r="C2116" s="224"/>
      <c r="D2116" s="224"/>
      <c r="E2116" s="224"/>
      <c r="F2116" s="224"/>
      <c r="G2116" s="224"/>
      <c r="H2116" s="224"/>
      <c r="I2116" s="224"/>
      <c r="J2116" s="224"/>
    </row>
    <row r="2117" spans="1:10" s="230" customFormat="1" x14ac:dyDescent="0.25">
      <c r="A2117" s="224">
        <v>525003665</v>
      </c>
      <c r="B2117" s="229" t="s">
        <v>4439</v>
      </c>
      <c r="C2117" s="224" t="s">
        <v>377</v>
      </c>
      <c r="D2117" s="224" t="s">
        <v>3917</v>
      </c>
      <c r="E2117" s="224" t="s">
        <v>4440</v>
      </c>
      <c r="F2117" s="224"/>
      <c r="G2117" s="224"/>
      <c r="H2117" s="224"/>
      <c r="I2117" s="224" t="s">
        <v>71</v>
      </c>
      <c r="J2117" s="224"/>
    </row>
    <row r="2118" spans="1:10" s="230" customFormat="1" x14ac:dyDescent="0.25">
      <c r="A2118" s="224">
        <v>525300857</v>
      </c>
      <c r="B2118" s="229" t="s">
        <v>4441</v>
      </c>
      <c r="C2118" s="224" t="s">
        <v>4442</v>
      </c>
      <c r="D2118" s="224" t="s">
        <v>4443</v>
      </c>
      <c r="E2118" s="224" t="s">
        <v>2001</v>
      </c>
      <c r="F2118" s="224"/>
      <c r="G2118" s="224"/>
      <c r="H2118" s="224"/>
      <c r="I2118" s="224" t="s">
        <v>39</v>
      </c>
      <c r="J2118" s="224"/>
    </row>
    <row r="2119" spans="1:10" s="230" customFormat="1" x14ac:dyDescent="0.25">
      <c r="A2119" s="224">
        <v>311013300</v>
      </c>
      <c r="B2119" s="229" t="s">
        <v>4444</v>
      </c>
      <c r="C2119" s="224">
        <v>120</v>
      </c>
      <c r="D2119" s="224">
        <v>8247</v>
      </c>
      <c r="E2119" s="224">
        <v>6.6</v>
      </c>
      <c r="F2119" s="224"/>
      <c r="G2119" s="224"/>
      <c r="H2119" s="224"/>
      <c r="I2119" s="224" t="s">
        <v>1895</v>
      </c>
      <c r="J2119" s="224"/>
    </row>
    <row r="2120" spans="1:10" s="230" customFormat="1" x14ac:dyDescent="0.25">
      <c r="A2120" s="224">
        <v>525601168</v>
      </c>
      <c r="B2120" s="229" t="s">
        <v>4445</v>
      </c>
      <c r="C2120" s="224" t="s">
        <v>4446</v>
      </c>
      <c r="D2120" s="224" t="s">
        <v>3011</v>
      </c>
      <c r="E2120" s="224" t="s">
        <v>1711</v>
      </c>
      <c r="F2120" s="224"/>
      <c r="G2120" s="224"/>
      <c r="H2120" s="224"/>
      <c r="I2120" s="224" t="s">
        <v>41</v>
      </c>
      <c r="J2120" s="224"/>
    </row>
    <row r="2121" spans="1:10" s="230" customFormat="1" x14ac:dyDescent="0.25">
      <c r="A2121" s="224">
        <v>525018033</v>
      </c>
      <c r="B2121" s="229" t="s">
        <v>4447</v>
      </c>
      <c r="C2121" s="224" t="s">
        <v>4448</v>
      </c>
      <c r="D2121" s="224" t="s">
        <v>4449</v>
      </c>
      <c r="E2121" s="224" t="s">
        <v>1257</v>
      </c>
      <c r="F2121" s="224"/>
      <c r="G2121" s="224"/>
      <c r="H2121" s="224"/>
      <c r="I2121" s="224" t="s">
        <v>1432</v>
      </c>
      <c r="J2121" s="224"/>
    </row>
    <row r="2122" spans="1:10" s="230" customFormat="1" x14ac:dyDescent="0.25">
      <c r="A2122" s="224">
        <v>636017896</v>
      </c>
      <c r="B2122" s="229" t="s">
        <v>4450</v>
      </c>
      <c r="C2122" s="224">
        <v>200</v>
      </c>
      <c r="D2122" s="224">
        <v>35025</v>
      </c>
      <c r="E2122" s="224">
        <v>7.7</v>
      </c>
      <c r="F2122" s="224"/>
      <c r="G2122" s="224"/>
      <c r="H2122" s="224"/>
      <c r="I2122" s="224" t="s">
        <v>273</v>
      </c>
      <c r="J2122" s="224"/>
    </row>
    <row r="2123" spans="1:10" s="230" customFormat="1" x14ac:dyDescent="0.25">
      <c r="A2123" s="224">
        <v>525500542</v>
      </c>
      <c r="B2123" s="229" t="s">
        <v>4451</v>
      </c>
      <c r="C2123" s="224" t="s">
        <v>4452</v>
      </c>
      <c r="D2123" s="224" t="s">
        <v>4453</v>
      </c>
      <c r="E2123" s="224" t="s">
        <v>2549</v>
      </c>
      <c r="F2123" s="224"/>
      <c r="G2123" s="224"/>
      <c r="H2123" s="224"/>
      <c r="I2123" s="224" t="s">
        <v>353</v>
      </c>
      <c r="J2123" s="224"/>
    </row>
    <row r="2124" spans="1:10" s="230" customFormat="1" x14ac:dyDescent="0.25">
      <c r="A2124" s="224">
        <v>525008068</v>
      </c>
      <c r="B2124" s="229" t="s">
        <v>4454</v>
      </c>
      <c r="C2124" s="224">
        <v>103</v>
      </c>
      <c r="D2124" s="224">
        <v>5006</v>
      </c>
      <c r="E2124" s="224">
        <v>5.2</v>
      </c>
      <c r="F2124" s="224"/>
      <c r="G2124" s="224"/>
      <c r="H2124" s="224"/>
      <c r="I2124" s="224" t="s">
        <v>96</v>
      </c>
      <c r="J2124" s="224"/>
    </row>
    <row r="2125" spans="1:10" s="230" customFormat="1" x14ac:dyDescent="0.25">
      <c r="A2125" s="224">
        <v>525014047</v>
      </c>
      <c r="B2125" s="229" t="s">
        <v>4455</v>
      </c>
      <c r="C2125" s="224">
        <v>98</v>
      </c>
      <c r="D2125" s="224">
        <v>4725</v>
      </c>
      <c r="E2125" s="224" t="s">
        <v>99</v>
      </c>
      <c r="F2125" s="224"/>
      <c r="G2125" s="224"/>
      <c r="H2125" s="224"/>
      <c r="I2125" s="224" t="s">
        <v>92</v>
      </c>
      <c r="J2125" s="224"/>
    </row>
    <row r="2126" spans="1:10" s="230" customFormat="1" x14ac:dyDescent="0.25">
      <c r="A2126" s="224">
        <v>525015839</v>
      </c>
      <c r="B2126" s="229" t="s">
        <v>4456</v>
      </c>
      <c r="C2126" s="224">
        <v>225</v>
      </c>
      <c r="D2126" s="224">
        <v>40167</v>
      </c>
      <c r="E2126" s="224">
        <v>7.5</v>
      </c>
      <c r="F2126" s="224"/>
      <c r="G2126" s="224"/>
      <c r="H2126" s="224"/>
      <c r="I2126" s="224" t="s">
        <v>249</v>
      </c>
      <c r="J2126" s="224"/>
    </row>
    <row r="2127" spans="1:10" s="230" customFormat="1" x14ac:dyDescent="0.25">
      <c r="A2127" s="224">
        <v>352003157</v>
      </c>
      <c r="B2127" s="229" t="s">
        <v>4457</v>
      </c>
      <c r="C2127" s="224">
        <v>106</v>
      </c>
      <c r="D2127" s="224">
        <v>4533</v>
      </c>
      <c r="E2127" s="224" t="s">
        <v>1754</v>
      </c>
      <c r="F2127" s="224"/>
      <c r="G2127" s="224"/>
      <c r="H2127" s="224"/>
      <c r="I2127" s="224" t="s">
        <v>516</v>
      </c>
      <c r="J2127" s="224"/>
    </row>
    <row r="2128" spans="1:10" s="230" customFormat="1" x14ac:dyDescent="0.25">
      <c r="A2128" s="224">
        <v>525016166</v>
      </c>
      <c r="B2128" s="229" t="s">
        <v>4458</v>
      </c>
      <c r="C2128" s="224">
        <v>57</v>
      </c>
      <c r="D2128" s="224">
        <v>686</v>
      </c>
      <c r="E2128" s="224" t="s">
        <v>133</v>
      </c>
      <c r="F2128" s="224"/>
      <c r="G2128" s="224"/>
      <c r="H2128" s="224"/>
      <c r="I2128" s="224" t="s">
        <v>39</v>
      </c>
      <c r="J2128" s="224"/>
    </row>
    <row r="2129" spans="1:10" s="230" customFormat="1" x14ac:dyDescent="0.25">
      <c r="A2129" s="224">
        <v>636023389</v>
      </c>
      <c r="B2129" s="229" t="s">
        <v>4459</v>
      </c>
      <c r="C2129" s="224">
        <v>183</v>
      </c>
      <c r="D2129" s="224">
        <v>28858</v>
      </c>
      <c r="E2129" s="224" t="s">
        <v>4460</v>
      </c>
      <c r="F2129" s="224"/>
      <c r="G2129" s="224"/>
      <c r="H2129" s="224"/>
      <c r="I2129" s="224" t="s">
        <v>160</v>
      </c>
      <c r="J2129" s="224"/>
    </row>
    <row r="2130" spans="1:10" s="230" customFormat="1" x14ac:dyDescent="0.25">
      <c r="A2130" s="224">
        <v>636013383</v>
      </c>
      <c r="B2130" s="229" t="s">
        <v>4461</v>
      </c>
      <c r="C2130" s="224">
        <v>115</v>
      </c>
      <c r="D2130" s="224">
        <v>106977</v>
      </c>
      <c r="E2130" s="224" t="s">
        <v>4462</v>
      </c>
      <c r="F2130" s="224"/>
      <c r="G2130" s="224"/>
      <c r="H2130" s="224"/>
      <c r="I2130" s="224" t="s">
        <v>96</v>
      </c>
      <c r="J2130" s="224"/>
    </row>
    <row r="2131" spans="1:10" s="230" customFormat="1" x14ac:dyDescent="0.25">
      <c r="A2131" s="224">
        <v>525003382</v>
      </c>
      <c r="B2131" s="229" t="s">
        <v>4463</v>
      </c>
      <c r="C2131" s="224" t="s">
        <v>4464</v>
      </c>
      <c r="D2131" s="224" t="s">
        <v>4465</v>
      </c>
      <c r="E2131" s="224" t="s">
        <v>4466</v>
      </c>
      <c r="F2131" s="224"/>
      <c r="G2131" s="224"/>
      <c r="H2131" s="224"/>
      <c r="I2131" s="224" t="s">
        <v>4467</v>
      </c>
      <c r="J2131" s="224"/>
    </row>
    <row r="2132" spans="1:10" s="230" customFormat="1" x14ac:dyDescent="0.25">
      <c r="A2132" s="224">
        <v>525003651</v>
      </c>
      <c r="B2132" s="18" t="s">
        <v>5269</v>
      </c>
      <c r="C2132" s="224" t="s">
        <v>4468</v>
      </c>
      <c r="D2132" s="224" t="s">
        <v>4469</v>
      </c>
      <c r="E2132" s="224" t="s">
        <v>4470</v>
      </c>
      <c r="F2132" s="224"/>
      <c r="G2132" s="224"/>
      <c r="H2132" s="224"/>
      <c r="I2132" s="224" t="s">
        <v>39</v>
      </c>
      <c r="J2132" s="224"/>
    </row>
    <row r="2133" spans="1:10" s="230" customFormat="1" x14ac:dyDescent="0.25">
      <c r="A2133" s="224">
        <v>525601494</v>
      </c>
      <c r="B2133" s="229" t="s">
        <v>4471</v>
      </c>
      <c r="C2133" s="224" t="s">
        <v>4472</v>
      </c>
      <c r="D2133" s="224">
        <v>775</v>
      </c>
      <c r="E2133" s="224" t="s">
        <v>126</v>
      </c>
      <c r="F2133" s="224"/>
      <c r="G2133" s="224"/>
      <c r="H2133" s="224"/>
      <c r="I2133" s="224" t="s">
        <v>92</v>
      </c>
      <c r="J2133" s="224"/>
    </row>
    <row r="2134" spans="1:10" s="230" customFormat="1" x14ac:dyDescent="0.25">
      <c r="A2134" s="224">
        <v>255915562</v>
      </c>
      <c r="B2134" s="229" t="s">
        <v>4473</v>
      </c>
      <c r="C2134" s="224">
        <v>135</v>
      </c>
      <c r="D2134" s="224">
        <v>10421</v>
      </c>
      <c r="E2134" s="224">
        <v>6.8</v>
      </c>
      <c r="F2134" s="224"/>
      <c r="G2134" s="224"/>
      <c r="H2134" s="224"/>
      <c r="I2134" s="224" t="s">
        <v>40</v>
      </c>
      <c r="J2134" s="224"/>
    </row>
    <row r="2135" spans="1:10" s="230" customFormat="1" x14ac:dyDescent="0.25">
      <c r="A2135" s="224">
        <v>525008081</v>
      </c>
      <c r="B2135" s="229" t="s">
        <v>4474</v>
      </c>
      <c r="C2135" s="224">
        <v>99</v>
      </c>
      <c r="D2135" s="224">
        <v>3930</v>
      </c>
      <c r="E2135" s="224">
        <v>4.8</v>
      </c>
      <c r="F2135" s="224"/>
      <c r="G2135" s="224"/>
      <c r="H2135" s="224"/>
      <c r="I2135" s="224" t="s">
        <v>96</v>
      </c>
      <c r="J2135" s="224"/>
    </row>
    <row r="2136" spans="1:10" s="230" customFormat="1" x14ac:dyDescent="0.25">
      <c r="A2136" s="224">
        <v>525201490</v>
      </c>
      <c r="B2136" s="229" t="s">
        <v>4475</v>
      </c>
      <c r="C2136" s="224">
        <v>70</v>
      </c>
      <c r="D2136" s="224">
        <v>1034</v>
      </c>
      <c r="E2136" s="224">
        <v>3.8</v>
      </c>
      <c r="F2136" s="224"/>
      <c r="G2136" s="224"/>
      <c r="H2136" s="224"/>
      <c r="I2136" s="224" t="s">
        <v>96</v>
      </c>
      <c r="J2136" s="224"/>
    </row>
    <row r="2137" spans="1:10" s="230" customFormat="1" x14ac:dyDescent="0.25">
      <c r="A2137" s="224">
        <v>636021505</v>
      </c>
      <c r="B2137" s="229" t="s">
        <v>4476</v>
      </c>
      <c r="C2137" s="224">
        <v>225</v>
      </c>
      <c r="D2137" s="224">
        <v>40060</v>
      </c>
      <c r="E2137" s="224">
        <v>12.8</v>
      </c>
      <c r="F2137" s="224"/>
      <c r="G2137" s="224"/>
      <c r="H2137" s="224"/>
      <c r="I2137" s="224" t="s">
        <v>817</v>
      </c>
      <c r="J2137" s="224"/>
    </row>
    <row r="2138" spans="1:10" s="230" customFormat="1" x14ac:dyDescent="0.25">
      <c r="A2138" s="224">
        <v>372789000</v>
      </c>
      <c r="B2138" s="229" t="s">
        <v>4477</v>
      </c>
      <c r="C2138" s="224">
        <v>169</v>
      </c>
      <c r="D2138" s="224">
        <v>17018</v>
      </c>
      <c r="E2138" s="224">
        <v>4.9000000000000004</v>
      </c>
      <c r="F2138" s="224"/>
      <c r="G2138" s="224"/>
      <c r="H2138" s="224"/>
      <c r="I2138" s="224" t="s">
        <v>414</v>
      </c>
      <c r="J2138" s="224"/>
    </row>
    <row r="2139" spans="1:10" s="230" customFormat="1" x14ac:dyDescent="0.25">
      <c r="A2139" s="224">
        <v>419000418</v>
      </c>
      <c r="B2139" s="229" t="s">
        <v>4478</v>
      </c>
      <c r="C2139" s="224">
        <v>189</v>
      </c>
      <c r="D2139" s="224">
        <v>32957</v>
      </c>
      <c r="E2139" s="224">
        <v>13.04</v>
      </c>
      <c r="F2139" s="224"/>
      <c r="G2139" s="224"/>
      <c r="H2139" s="224"/>
      <c r="I2139" s="224" t="s">
        <v>262</v>
      </c>
      <c r="J2139" s="224"/>
    </row>
    <row r="2140" spans="1:10" s="230" customFormat="1" x14ac:dyDescent="0.25">
      <c r="A2140" s="224">
        <v>636024959</v>
      </c>
      <c r="B2140" s="229" t="s">
        <v>4479</v>
      </c>
      <c r="C2140" s="224">
        <v>110</v>
      </c>
      <c r="D2140" s="224">
        <v>3927</v>
      </c>
      <c r="E2140" s="224">
        <v>5.4</v>
      </c>
      <c r="F2140" s="224"/>
      <c r="G2140" s="224"/>
      <c r="H2140" s="224"/>
      <c r="I2140" s="224" t="s">
        <v>273</v>
      </c>
      <c r="J2140" s="224"/>
    </row>
    <row r="2141" spans="1:10" s="230" customFormat="1" x14ac:dyDescent="0.25">
      <c r="A2141" s="224">
        <v>525501960</v>
      </c>
      <c r="B2141" s="229" t="s">
        <v>4480</v>
      </c>
      <c r="C2141" s="224" t="s">
        <v>4481</v>
      </c>
      <c r="D2141" s="224" t="s">
        <v>4482</v>
      </c>
      <c r="E2141" s="224" t="s">
        <v>4483</v>
      </c>
      <c r="F2141" s="224"/>
      <c r="G2141" s="224"/>
      <c r="H2141" s="224"/>
      <c r="I2141" s="224" t="s">
        <v>1448</v>
      </c>
      <c r="J2141" s="224"/>
    </row>
    <row r="2142" spans="1:10" s="230" customFormat="1" x14ac:dyDescent="0.25">
      <c r="A2142" s="224">
        <v>567619000</v>
      </c>
      <c r="B2142" s="229" t="s">
        <v>4484</v>
      </c>
      <c r="C2142" s="224">
        <v>180</v>
      </c>
      <c r="D2142" s="224">
        <v>22402</v>
      </c>
      <c r="E2142" s="224">
        <v>8.9</v>
      </c>
      <c r="F2142" s="224"/>
      <c r="G2142" s="224"/>
      <c r="H2142" s="224"/>
      <c r="I2142" s="224" t="s">
        <v>160</v>
      </c>
      <c r="J2142" s="224"/>
    </row>
    <row r="2143" spans="1:10" s="230" customFormat="1" x14ac:dyDescent="0.25">
      <c r="A2143" s="224">
        <v>525400753</v>
      </c>
      <c r="B2143" s="229" t="s">
        <v>4485</v>
      </c>
      <c r="C2143" s="224" t="s">
        <v>4486</v>
      </c>
      <c r="D2143" s="224" t="s">
        <v>4487</v>
      </c>
      <c r="E2143" s="224" t="s">
        <v>4488</v>
      </c>
      <c r="F2143" s="224"/>
      <c r="G2143" s="224"/>
      <c r="H2143" s="224"/>
      <c r="I2143" s="224" t="s">
        <v>65</v>
      </c>
      <c r="J2143" s="224"/>
    </row>
    <row r="2144" spans="1:10" s="230" customFormat="1" x14ac:dyDescent="0.25">
      <c r="A2144" s="224">
        <v>525701204</v>
      </c>
      <c r="B2144" s="229" t="s">
        <v>4489</v>
      </c>
      <c r="C2144" s="224" t="s">
        <v>2071</v>
      </c>
      <c r="D2144" s="224" t="s">
        <v>3058</v>
      </c>
      <c r="E2144" s="224" t="s">
        <v>1685</v>
      </c>
      <c r="F2144" s="224"/>
      <c r="G2144" s="224"/>
      <c r="H2144" s="224"/>
      <c r="I2144" s="224" t="s">
        <v>46</v>
      </c>
      <c r="J2144" s="224"/>
    </row>
    <row r="2145" spans="1:10" s="230" customFormat="1" x14ac:dyDescent="0.25">
      <c r="A2145" s="224">
        <v>636020944</v>
      </c>
      <c r="B2145" s="229" t="s">
        <v>4490</v>
      </c>
      <c r="C2145" s="224">
        <v>140</v>
      </c>
      <c r="D2145" s="224">
        <v>8916</v>
      </c>
      <c r="E2145" s="224">
        <v>8.4</v>
      </c>
      <c r="F2145" s="224"/>
      <c r="G2145" s="224"/>
      <c r="H2145" s="224"/>
      <c r="I2145" s="224" t="s">
        <v>414</v>
      </c>
      <c r="J2145" s="224"/>
    </row>
    <row r="2146" spans="1:10" s="230" customFormat="1" x14ac:dyDescent="0.25">
      <c r="A2146" s="224">
        <v>636023003</v>
      </c>
      <c r="B2146" s="229" t="s">
        <v>4491</v>
      </c>
      <c r="C2146" s="224">
        <v>174</v>
      </c>
      <c r="D2146" s="224">
        <v>20117</v>
      </c>
      <c r="E2146" s="224">
        <v>11</v>
      </c>
      <c r="F2146" s="224"/>
      <c r="G2146" s="224"/>
      <c r="H2146" s="224"/>
      <c r="I2146" s="224" t="s">
        <v>160</v>
      </c>
      <c r="J2146" s="224"/>
    </row>
    <row r="2147" spans="1:10" s="230" customFormat="1" x14ac:dyDescent="0.25">
      <c r="A2147" s="224">
        <v>525016188</v>
      </c>
      <c r="B2147" s="229" t="s">
        <v>4492</v>
      </c>
      <c r="C2147" s="224" t="s">
        <v>4493</v>
      </c>
      <c r="D2147" s="224" t="s">
        <v>4494</v>
      </c>
      <c r="E2147" s="224" t="s">
        <v>4495</v>
      </c>
      <c r="F2147" s="224"/>
      <c r="G2147" s="224"/>
      <c r="H2147" s="224"/>
      <c r="I2147" s="224" t="s">
        <v>39</v>
      </c>
      <c r="J2147" s="224"/>
    </row>
    <row r="2148" spans="1:10" s="230" customFormat="1" x14ac:dyDescent="0.25">
      <c r="A2148" s="224">
        <v>563137200</v>
      </c>
      <c r="B2148" s="229" t="s">
        <v>4496</v>
      </c>
      <c r="C2148" s="224">
        <v>140</v>
      </c>
      <c r="D2148" s="224">
        <v>9938</v>
      </c>
      <c r="E2148" s="224">
        <v>5.8</v>
      </c>
      <c r="F2148" s="224"/>
      <c r="G2148" s="224"/>
      <c r="H2148" s="224"/>
      <c r="I2148" s="224" t="s">
        <v>262</v>
      </c>
      <c r="J2148" s="224"/>
    </row>
    <row r="2149" spans="1:10" s="230" customFormat="1" x14ac:dyDescent="0.25">
      <c r="A2149" s="224">
        <v>525121073</v>
      </c>
      <c r="B2149" s="229" t="s">
        <v>3461</v>
      </c>
      <c r="C2149" s="224">
        <v>129</v>
      </c>
      <c r="D2149" s="224">
        <v>8529</v>
      </c>
      <c r="E2149" s="224">
        <v>8.4</v>
      </c>
      <c r="F2149" s="224"/>
      <c r="G2149" s="224"/>
      <c r="H2149" s="224"/>
      <c r="I2149" s="224" t="s">
        <v>1448</v>
      </c>
      <c r="J2149" s="224"/>
    </row>
    <row r="2150" spans="1:10" s="230" customFormat="1" x14ac:dyDescent="0.25">
      <c r="A2150" s="224">
        <v>525003594</v>
      </c>
      <c r="B2150" s="229" t="s">
        <v>4497</v>
      </c>
      <c r="C2150" s="224" t="s">
        <v>434</v>
      </c>
      <c r="D2150" s="224" t="s">
        <v>2960</v>
      </c>
      <c r="E2150" s="224" t="s">
        <v>1396</v>
      </c>
      <c r="F2150" s="224"/>
      <c r="G2150" s="224"/>
      <c r="H2150" s="224"/>
      <c r="I2150" s="224" t="s">
        <v>41</v>
      </c>
      <c r="J2150" s="224"/>
    </row>
    <row r="2151" spans="1:10" s="230" customFormat="1" x14ac:dyDescent="0.25">
      <c r="A2151" s="224">
        <v>413384150</v>
      </c>
      <c r="B2151" s="229" t="s">
        <v>4498</v>
      </c>
      <c r="C2151" s="224">
        <v>139</v>
      </c>
      <c r="D2151" s="224">
        <v>9030</v>
      </c>
      <c r="E2151" s="224">
        <v>8.5</v>
      </c>
      <c r="F2151" s="224"/>
      <c r="G2151" s="224"/>
      <c r="H2151" s="224"/>
      <c r="I2151" s="224" t="s">
        <v>160</v>
      </c>
      <c r="J2151" s="224"/>
    </row>
    <row r="2152" spans="1:10" s="230" customFormat="1" x14ac:dyDescent="0.25">
      <c r="A2152" s="224">
        <v>525400599</v>
      </c>
      <c r="B2152" s="229" t="s">
        <v>4499</v>
      </c>
      <c r="C2152" s="224" t="s">
        <v>4500</v>
      </c>
      <c r="D2152" s="224" t="s">
        <v>4501</v>
      </c>
      <c r="E2152" s="224" t="s">
        <v>1217</v>
      </c>
      <c r="F2152" s="224"/>
      <c r="G2152" s="224"/>
      <c r="H2152" s="224"/>
      <c r="I2152" s="224" t="s">
        <v>41</v>
      </c>
      <c r="J2152" s="224"/>
    </row>
    <row r="2153" spans="1:10" s="230" customFormat="1" x14ac:dyDescent="0.25">
      <c r="A2153" s="224">
        <v>525007368</v>
      </c>
      <c r="B2153" s="229" t="s">
        <v>4502</v>
      </c>
      <c r="C2153" s="224" t="s">
        <v>4503</v>
      </c>
      <c r="D2153" s="224" t="s">
        <v>4504</v>
      </c>
      <c r="E2153" s="224" t="s">
        <v>4194</v>
      </c>
      <c r="F2153" s="224"/>
      <c r="G2153" s="224"/>
      <c r="H2153" s="224"/>
      <c r="I2153" s="224" t="s">
        <v>1448</v>
      </c>
      <c r="J2153" s="224"/>
    </row>
    <row r="2154" spans="1:10" s="230" customFormat="1" x14ac:dyDescent="0.25">
      <c r="A2154" s="224">
        <v>525100865</v>
      </c>
      <c r="B2154" s="229" t="s">
        <v>4505</v>
      </c>
      <c r="C2154" s="224">
        <v>166</v>
      </c>
      <c r="D2154" s="224">
        <v>18330</v>
      </c>
      <c r="E2154" s="224">
        <v>6.2</v>
      </c>
      <c r="F2154" s="224"/>
      <c r="G2154" s="224"/>
      <c r="H2154" s="224"/>
      <c r="I2154" s="224" t="s">
        <v>48</v>
      </c>
      <c r="J2154" s="224"/>
    </row>
    <row r="2155" spans="1:10" s="230" customFormat="1" x14ac:dyDescent="0.25">
      <c r="A2155" s="224">
        <v>229411000</v>
      </c>
      <c r="B2155" s="229" t="s">
        <v>4506</v>
      </c>
      <c r="C2155" s="224">
        <v>186</v>
      </c>
      <c r="D2155" s="224">
        <v>24086</v>
      </c>
      <c r="E2155" s="224" t="s">
        <v>834</v>
      </c>
      <c r="F2155" s="224"/>
      <c r="G2155" s="224"/>
      <c r="H2155" s="224"/>
      <c r="I2155" s="224" t="s">
        <v>920</v>
      </c>
      <c r="J2155" s="224"/>
    </row>
    <row r="2156" spans="1:10" s="230" customFormat="1" x14ac:dyDescent="0.25">
      <c r="A2156" s="224">
        <v>352003334</v>
      </c>
      <c r="B2156" s="229" t="s">
        <v>4507</v>
      </c>
      <c r="C2156" s="224">
        <v>183</v>
      </c>
      <c r="D2156" s="224">
        <v>32153</v>
      </c>
      <c r="E2156" s="224" t="s">
        <v>834</v>
      </c>
      <c r="F2156" s="224"/>
      <c r="G2156" s="224"/>
      <c r="H2156" s="224"/>
      <c r="I2156" s="224" t="s">
        <v>160</v>
      </c>
      <c r="J2156" s="224"/>
    </row>
    <row r="2157" spans="1:10" s="230" customFormat="1" x14ac:dyDescent="0.25">
      <c r="A2157" s="224">
        <v>525201972</v>
      </c>
      <c r="B2157" s="229" t="s">
        <v>4508</v>
      </c>
      <c r="C2157" s="224">
        <v>125</v>
      </c>
      <c r="D2157" s="224">
        <v>6554</v>
      </c>
      <c r="E2157" s="224">
        <v>6.4</v>
      </c>
      <c r="F2157" s="224"/>
      <c r="G2157" s="224"/>
      <c r="H2157" s="224"/>
      <c r="I2157" s="224" t="s">
        <v>1584</v>
      </c>
      <c r="J2157" s="224"/>
    </row>
    <row r="2158" spans="1:10" s="230" customFormat="1" x14ac:dyDescent="0.25">
      <c r="A2158" s="224">
        <v>525800871</v>
      </c>
      <c r="B2158" s="229" t="s">
        <v>4509</v>
      </c>
      <c r="C2158" s="224">
        <v>179</v>
      </c>
      <c r="D2158" s="224">
        <v>19910</v>
      </c>
      <c r="E2158" s="224">
        <v>5.4</v>
      </c>
      <c r="F2158" s="224"/>
      <c r="G2158" s="224"/>
      <c r="H2158" s="224"/>
      <c r="I2158" s="224" t="s">
        <v>249</v>
      </c>
      <c r="J2158" s="224"/>
    </row>
    <row r="2159" spans="1:10" s="230" customFormat="1" x14ac:dyDescent="0.25">
      <c r="A2159" s="224">
        <v>538009328</v>
      </c>
      <c r="B2159" s="229" t="s">
        <v>4510</v>
      </c>
      <c r="C2159" s="224">
        <v>180</v>
      </c>
      <c r="D2159" s="224">
        <v>22402</v>
      </c>
      <c r="E2159" s="224">
        <v>6.6</v>
      </c>
      <c r="F2159" s="224"/>
      <c r="G2159" s="224"/>
      <c r="H2159" s="224"/>
      <c r="I2159" s="224" t="s">
        <v>71</v>
      </c>
      <c r="J2159" s="224"/>
    </row>
    <row r="2160" spans="1:10" s="230" customFormat="1" x14ac:dyDescent="0.25">
      <c r="A2160" s="224">
        <v>525020217</v>
      </c>
      <c r="B2160" s="229" t="s">
        <v>4511</v>
      </c>
      <c r="C2160" s="224" t="s">
        <v>4512</v>
      </c>
      <c r="D2160" s="224" t="s">
        <v>3581</v>
      </c>
      <c r="E2160" s="224" t="s">
        <v>4513</v>
      </c>
      <c r="F2160" s="224"/>
      <c r="G2160" s="224"/>
      <c r="H2160" s="224"/>
      <c r="I2160" s="224" t="s">
        <v>39</v>
      </c>
      <c r="J2160" s="224"/>
    </row>
    <row r="2161" spans="1:10" s="230" customFormat="1" x14ac:dyDescent="0.25">
      <c r="A2161" s="224">
        <v>525200009</v>
      </c>
      <c r="B2161" s="229" t="s">
        <v>4514</v>
      </c>
      <c r="C2161" s="224" t="s">
        <v>1981</v>
      </c>
      <c r="D2161" s="224" t="s">
        <v>4515</v>
      </c>
      <c r="E2161" s="224" t="s">
        <v>4516</v>
      </c>
      <c r="F2161" s="224"/>
      <c r="G2161" s="224"/>
      <c r="H2161" s="224"/>
      <c r="I2161" s="224" t="s">
        <v>3038</v>
      </c>
      <c r="J2161" s="224"/>
    </row>
    <row r="2162" spans="1:10" s="230" customFormat="1" x14ac:dyDescent="0.25">
      <c r="A2162" s="224">
        <v>525108030</v>
      </c>
      <c r="B2162" s="229" t="s">
        <v>4517</v>
      </c>
      <c r="C2162" s="224">
        <v>95</v>
      </c>
      <c r="D2162" s="224">
        <v>3995</v>
      </c>
      <c r="E2162" s="224" t="s">
        <v>112</v>
      </c>
      <c r="F2162" s="224"/>
      <c r="G2162" s="224"/>
      <c r="H2162" s="224"/>
      <c r="I2162" s="224" t="s">
        <v>96</v>
      </c>
      <c r="J2162" s="224"/>
    </row>
    <row r="2163" spans="1:10" s="230" customFormat="1" x14ac:dyDescent="0.25">
      <c r="A2163" s="224">
        <v>525700850</v>
      </c>
      <c r="B2163" s="229" t="s">
        <v>4518</v>
      </c>
      <c r="C2163" s="224">
        <v>32</v>
      </c>
      <c r="D2163" s="224">
        <v>286</v>
      </c>
      <c r="E2163" s="224" t="s">
        <v>101</v>
      </c>
      <c r="F2163" s="224"/>
      <c r="G2163" s="224"/>
      <c r="H2163" s="224"/>
      <c r="I2163" s="224" t="s">
        <v>4519</v>
      </c>
      <c r="J2163" s="224"/>
    </row>
    <row r="2164" spans="1:10" s="230" customFormat="1" x14ac:dyDescent="0.25">
      <c r="A2164" s="224">
        <v>525201265</v>
      </c>
      <c r="B2164" s="229" t="s">
        <v>3517</v>
      </c>
      <c r="C2164" s="224" t="s">
        <v>4520</v>
      </c>
      <c r="D2164" s="224" t="s">
        <v>4521</v>
      </c>
      <c r="E2164" s="224" t="s">
        <v>225</v>
      </c>
      <c r="F2164" s="224"/>
      <c r="G2164" s="224"/>
      <c r="H2164" s="224"/>
      <c r="I2164" s="224" t="s">
        <v>353</v>
      </c>
      <c r="J2164" s="224"/>
    </row>
    <row r="2165" spans="1:10" s="230" customFormat="1" x14ac:dyDescent="0.25">
      <c r="A2165" s="224">
        <v>525601718</v>
      </c>
      <c r="B2165" s="229" t="s">
        <v>4522</v>
      </c>
      <c r="C2165" s="224" t="s">
        <v>615</v>
      </c>
      <c r="D2165" s="224" t="s">
        <v>4246</v>
      </c>
      <c r="E2165" s="224" t="s">
        <v>1060</v>
      </c>
      <c r="F2165" s="224"/>
      <c r="G2165" s="224"/>
      <c r="H2165" s="224"/>
      <c r="I2165" s="224" t="s">
        <v>1870</v>
      </c>
      <c r="J2165" s="224"/>
    </row>
    <row r="2166" spans="1:10" s="230" customFormat="1" x14ac:dyDescent="0.25">
      <c r="A2166" s="224">
        <v>563021700</v>
      </c>
      <c r="B2166" s="229" t="s">
        <v>4523</v>
      </c>
      <c r="C2166" s="224">
        <v>116</v>
      </c>
      <c r="D2166" s="224">
        <v>5551</v>
      </c>
      <c r="E2166" s="224">
        <v>5.6</v>
      </c>
      <c r="F2166" s="224"/>
      <c r="G2166" s="224"/>
      <c r="H2166" s="224"/>
      <c r="I2166" s="224" t="s">
        <v>1895</v>
      </c>
      <c r="J2166" s="224"/>
    </row>
    <row r="2167" spans="1:10" s="230" customFormat="1" x14ac:dyDescent="0.25">
      <c r="A2167" s="224">
        <v>525006072</v>
      </c>
      <c r="B2167" s="229" t="s">
        <v>4524</v>
      </c>
      <c r="C2167" s="224" t="s">
        <v>4525</v>
      </c>
      <c r="D2167" s="224" t="s">
        <v>4526</v>
      </c>
      <c r="E2167" s="224" t="s">
        <v>4527</v>
      </c>
      <c r="F2167" s="224"/>
      <c r="G2167" s="224"/>
      <c r="H2167" s="224"/>
      <c r="I2167" s="224" t="s">
        <v>1432</v>
      </c>
      <c r="J2167" s="224"/>
    </row>
    <row r="2168" spans="1:10" s="230" customFormat="1" x14ac:dyDescent="0.25">
      <c r="A2168" s="224">
        <v>373841000</v>
      </c>
      <c r="B2168" s="229" t="s">
        <v>4528</v>
      </c>
      <c r="C2168" s="224">
        <v>128</v>
      </c>
      <c r="D2168" s="224">
        <v>7617</v>
      </c>
      <c r="E2168" s="224" t="s">
        <v>4529</v>
      </c>
      <c r="F2168" s="224"/>
      <c r="G2168" s="224"/>
      <c r="H2168" s="224"/>
      <c r="I2168" s="224" t="s">
        <v>40</v>
      </c>
      <c r="J2168" s="224"/>
    </row>
    <row r="2169" spans="1:10" s="230" customFormat="1" x14ac:dyDescent="0.25">
      <c r="A2169" s="224">
        <v>215939000</v>
      </c>
      <c r="B2169" s="229" t="s">
        <v>4530</v>
      </c>
      <c r="C2169" s="224">
        <v>183</v>
      </c>
      <c r="D2169" s="224">
        <v>29678</v>
      </c>
      <c r="E2169" s="224">
        <v>8.6999999999999993</v>
      </c>
      <c r="F2169" s="224"/>
      <c r="G2169" s="224"/>
      <c r="H2169" s="224"/>
      <c r="I2169" s="224" t="s">
        <v>160</v>
      </c>
      <c r="J2169" s="224"/>
    </row>
    <row r="2170" spans="1:10" s="230" customFormat="1" x14ac:dyDescent="0.25">
      <c r="A2170" s="224">
        <v>525011084</v>
      </c>
      <c r="B2170" s="229" t="s">
        <v>4531</v>
      </c>
      <c r="C2170" s="224" t="s">
        <v>4289</v>
      </c>
      <c r="D2170" s="224" t="s">
        <v>4532</v>
      </c>
      <c r="E2170" s="224" t="s">
        <v>4533</v>
      </c>
      <c r="F2170" s="224"/>
      <c r="G2170" s="224"/>
      <c r="H2170" s="224"/>
      <c r="I2170" s="224" t="s">
        <v>3038</v>
      </c>
      <c r="J2170" s="224"/>
    </row>
    <row r="2171" spans="1:10" s="230" customFormat="1" x14ac:dyDescent="0.25">
      <c r="A2171" s="224">
        <v>525601664</v>
      </c>
      <c r="B2171" s="229" t="s">
        <v>4534</v>
      </c>
      <c r="C2171" s="224" t="s">
        <v>4535</v>
      </c>
      <c r="D2171" s="224" t="s">
        <v>4536</v>
      </c>
      <c r="E2171" s="224" t="s">
        <v>4537</v>
      </c>
      <c r="F2171" s="224"/>
      <c r="G2171" s="224"/>
      <c r="H2171" s="224"/>
      <c r="I2171" s="224" t="s">
        <v>92</v>
      </c>
      <c r="J2171" s="224"/>
    </row>
    <row r="2172" spans="1:10" s="230" customFormat="1" x14ac:dyDescent="0.25">
      <c r="A2172" s="224">
        <v>525007333</v>
      </c>
      <c r="B2172" s="229" t="s">
        <v>4538</v>
      </c>
      <c r="C2172" s="224" t="s">
        <v>4539</v>
      </c>
      <c r="D2172" s="224" t="s">
        <v>4540</v>
      </c>
      <c r="E2172" s="224" t="s">
        <v>4541</v>
      </c>
      <c r="F2172" s="224"/>
      <c r="G2172" s="224"/>
      <c r="H2172" s="224"/>
      <c r="I2172" s="224" t="s">
        <v>46</v>
      </c>
      <c r="J2172" s="224"/>
    </row>
    <row r="2173" spans="1:10" s="230" customFormat="1" x14ac:dyDescent="0.25">
      <c r="A2173" s="224">
        <v>352005045</v>
      </c>
      <c r="B2173" s="229" t="s">
        <v>4542</v>
      </c>
      <c r="C2173" s="224">
        <v>183</v>
      </c>
      <c r="D2173" s="224">
        <v>29600</v>
      </c>
      <c r="E2173" s="224" t="s">
        <v>834</v>
      </c>
      <c r="F2173" s="224"/>
      <c r="G2173" s="224"/>
      <c r="H2173" s="224"/>
      <c r="I2173" s="224" t="s">
        <v>79</v>
      </c>
      <c r="J2173" s="224"/>
    </row>
    <row r="2174" spans="1:10" s="230" customFormat="1" x14ac:dyDescent="0.25">
      <c r="A2174" s="224">
        <v>636021689</v>
      </c>
      <c r="B2174" s="229" t="s">
        <v>4543</v>
      </c>
      <c r="C2174" s="224">
        <v>124</v>
      </c>
      <c r="D2174" s="224">
        <v>7206</v>
      </c>
      <c r="E2174" s="224">
        <v>7.3</v>
      </c>
      <c r="F2174" s="224"/>
      <c r="G2174" s="224"/>
      <c r="H2174" s="224"/>
      <c r="I2174" s="224" t="s">
        <v>40</v>
      </c>
      <c r="J2174" s="224"/>
    </row>
    <row r="2175" spans="1:10" s="230" customFormat="1" x14ac:dyDescent="0.25">
      <c r="A2175" s="224">
        <v>636021147</v>
      </c>
      <c r="B2175" s="229" t="s">
        <v>4544</v>
      </c>
      <c r="C2175" s="224">
        <v>190</v>
      </c>
      <c r="D2175" s="224">
        <v>32839</v>
      </c>
      <c r="E2175" s="224">
        <v>66.599999999999994</v>
      </c>
      <c r="F2175" s="224"/>
      <c r="G2175" s="224"/>
      <c r="H2175" s="224"/>
      <c r="I2175" s="224" t="s">
        <v>262</v>
      </c>
      <c r="J2175" s="224"/>
    </row>
    <row r="2176" spans="1:10" s="230" customFormat="1" x14ac:dyDescent="0.25">
      <c r="A2176" s="224">
        <v>564776000</v>
      </c>
      <c r="B2176" s="229" t="s">
        <v>4545</v>
      </c>
      <c r="C2176" s="224">
        <v>145</v>
      </c>
      <c r="D2176" s="224">
        <v>11267</v>
      </c>
      <c r="E2176" s="224">
        <v>7.6</v>
      </c>
      <c r="F2176" s="224"/>
      <c r="G2176" s="224"/>
      <c r="H2176" s="224"/>
      <c r="I2176" s="7" t="s">
        <v>817</v>
      </c>
      <c r="J2176" s="224"/>
    </row>
    <row r="2177" spans="1:10" s="230" customFormat="1" x14ac:dyDescent="0.25">
      <c r="A2177" s="224">
        <v>548722000</v>
      </c>
      <c r="B2177" s="229" t="s">
        <v>4546</v>
      </c>
      <c r="C2177" s="224">
        <v>130</v>
      </c>
      <c r="D2177" s="224">
        <v>13263</v>
      </c>
      <c r="E2177" s="224">
        <v>5.9</v>
      </c>
      <c r="F2177" s="224"/>
      <c r="G2177" s="224"/>
      <c r="H2177" s="224"/>
      <c r="I2177" s="224" t="s">
        <v>262</v>
      </c>
      <c r="J2177" s="224"/>
    </row>
    <row r="2178" spans="1:10" s="230" customFormat="1" x14ac:dyDescent="0.25">
      <c r="A2178" s="224">
        <v>636022817</v>
      </c>
      <c r="B2178" s="229" t="s">
        <v>4547</v>
      </c>
      <c r="C2178" s="224">
        <v>210</v>
      </c>
      <c r="D2178" s="224">
        <v>53015</v>
      </c>
      <c r="E2178" s="224" t="s">
        <v>1256</v>
      </c>
      <c r="F2178" s="224"/>
      <c r="G2178" s="224"/>
      <c r="H2178" s="224"/>
      <c r="I2178" s="224" t="s">
        <v>150</v>
      </c>
      <c r="J2178" s="224"/>
    </row>
    <row r="2179" spans="1:10" s="230" customFormat="1" x14ac:dyDescent="0.25">
      <c r="A2179" s="224">
        <v>525010277</v>
      </c>
      <c r="B2179" s="229" t="s">
        <v>4548</v>
      </c>
      <c r="C2179" s="224">
        <v>74</v>
      </c>
      <c r="D2179" s="224">
        <v>1419</v>
      </c>
      <c r="E2179" s="224" t="s">
        <v>1110</v>
      </c>
      <c r="F2179" s="224"/>
      <c r="G2179" s="224"/>
      <c r="H2179" s="224"/>
      <c r="I2179" s="224" t="s">
        <v>39</v>
      </c>
      <c r="J2179" s="224"/>
    </row>
    <row r="2180" spans="1:10" s="230" customFormat="1" x14ac:dyDescent="0.25">
      <c r="A2180" s="224">
        <v>525601492</v>
      </c>
      <c r="B2180" s="229" t="s">
        <v>4549</v>
      </c>
      <c r="C2180" s="224" t="s">
        <v>3847</v>
      </c>
      <c r="D2180" s="224" t="s">
        <v>3021</v>
      </c>
      <c r="E2180" s="224" t="s">
        <v>1284</v>
      </c>
      <c r="F2180" s="224"/>
      <c r="G2180" s="224"/>
      <c r="H2180" s="224"/>
      <c r="I2180" s="224" t="s">
        <v>249</v>
      </c>
      <c r="J2180" s="224"/>
    </row>
    <row r="2181" spans="1:10" s="230" customFormat="1" x14ac:dyDescent="0.25">
      <c r="A2181" s="224">
        <v>525500556</v>
      </c>
      <c r="B2181" s="229" t="s">
        <v>4550</v>
      </c>
      <c r="C2181" s="224" t="s">
        <v>4551</v>
      </c>
      <c r="D2181" s="224" t="s">
        <v>4552</v>
      </c>
      <c r="E2181" s="224" t="s">
        <v>4553</v>
      </c>
      <c r="F2181" s="224"/>
      <c r="G2181" s="224"/>
      <c r="H2181" s="224"/>
      <c r="I2181" s="224" t="s">
        <v>39</v>
      </c>
      <c r="J2181" s="224"/>
    </row>
    <row r="2182" spans="1:10" s="230" customFormat="1" x14ac:dyDescent="0.25">
      <c r="A2182" s="224">
        <v>525023414</v>
      </c>
      <c r="B2182" s="229" t="s">
        <v>4554</v>
      </c>
      <c r="C2182" s="224">
        <v>25</v>
      </c>
      <c r="D2182" s="224">
        <v>154</v>
      </c>
      <c r="E2182" s="224">
        <v>0.8</v>
      </c>
      <c r="F2182" s="224"/>
      <c r="G2182" s="224"/>
      <c r="H2182" s="224"/>
      <c r="I2182" s="224" t="s">
        <v>1432</v>
      </c>
      <c r="J2182" s="224"/>
    </row>
    <row r="2183" spans="1:10" s="230" customFormat="1" x14ac:dyDescent="0.25">
      <c r="A2183" s="224">
        <v>525401862</v>
      </c>
      <c r="B2183" s="229" t="s">
        <v>4555</v>
      </c>
      <c r="C2183" s="224" t="s">
        <v>4556</v>
      </c>
      <c r="D2183" s="224" t="s">
        <v>4557</v>
      </c>
      <c r="E2183" s="224" t="s">
        <v>4558</v>
      </c>
      <c r="F2183" s="224"/>
      <c r="G2183" s="224"/>
      <c r="H2183" s="224"/>
      <c r="I2183" s="224" t="s">
        <v>39</v>
      </c>
      <c r="J2183" s="224"/>
    </row>
    <row r="2184" spans="1:10" s="230" customFormat="1" x14ac:dyDescent="0.25">
      <c r="A2184" s="224">
        <v>525021400</v>
      </c>
      <c r="B2184" s="229" t="s">
        <v>4559</v>
      </c>
      <c r="C2184" s="224">
        <v>66</v>
      </c>
      <c r="D2184" s="224">
        <v>367</v>
      </c>
      <c r="E2184" s="224" t="s">
        <v>3069</v>
      </c>
      <c r="F2184" s="224"/>
      <c r="G2184" s="224"/>
      <c r="H2184" s="224"/>
      <c r="I2184" s="224" t="s">
        <v>150</v>
      </c>
      <c r="J2184" s="224"/>
    </row>
    <row r="2185" spans="1:10" s="230" customFormat="1" x14ac:dyDescent="0.25">
      <c r="A2185" s="224">
        <v>525300615</v>
      </c>
      <c r="B2185" s="229" t="s">
        <v>4560</v>
      </c>
      <c r="C2185" s="224" t="s">
        <v>4561</v>
      </c>
      <c r="D2185" s="224" t="s">
        <v>4562</v>
      </c>
      <c r="E2185" s="224" t="s">
        <v>4563</v>
      </c>
      <c r="F2185" s="224"/>
      <c r="G2185" s="224"/>
      <c r="H2185" s="224"/>
      <c r="I2185" s="224" t="s">
        <v>249</v>
      </c>
      <c r="J2185" s="224"/>
    </row>
    <row r="2186" spans="1:10" s="230" customFormat="1" x14ac:dyDescent="0.25">
      <c r="A2186" s="224">
        <v>525701920</v>
      </c>
      <c r="B2186" s="229" t="s">
        <v>4564</v>
      </c>
      <c r="C2186" s="224">
        <v>56</v>
      </c>
      <c r="D2186" s="224">
        <v>766</v>
      </c>
      <c r="E2186" s="224" t="s">
        <v>1660</v>
      </c>
      <c r="F2186" s="224"/>
      <c r="G2186" s="224"/>
      <c r="H2186" s="224"/>
      <c r="I2186" s="224" t="s">
        <v>260</v>
      </c>
      <c r="J2186" s="224"/>
    </row>
    <row r="2187" spans="1:10" s="230" customFormat="1" x14ac:dyDescent="0.25">
      <c r="A2187" s="224">
        <v>572912210</v>
      </c>
      <c r="B2187" s="229" t="s">
        <v>4565</v>
      </c>
      <c r="C2187" s="224">
        <v>180</v>
      </c>
      <c r="D2187" s="224">
        <v>20867</v>
      </c>
      <c r="E2187" s="224">
        <v>10.1</v>
      </c>
      <c r="F2187" s="224"/>
      <c r="G2187" s="224"/>
      <c r="H2187" s="224"/>
      <c r="I2187" s="224" t="s">
        <v>45</v>
      </c>
      <c r="J2187" s="224"/>
    </row>
    <row r="2188" spans="1:10" s="230" customFormat="1" x14ac:dyDescent="0.25">
      <c r="A2188" s="224">
        <v>563229600</v>
      </c>
      <c r="B2188" s="229" t="s">
        <v>4566</v>
      </c>
      <c r="C2188" s="224">
        <v>183</v>
      </c>
      <c r="D2188" s="224">
        <v>30291</v>
      </c>
      <c r="E2188" s="224" t="s">
        <v>889</v>
      </c>
      <c r="F2188" s="224"/>
      <c r="G2188" s="224"/>
      <c r="H2188" s="224"/>
      <c r="I2188" s="224" t="s">
        <v>160</v>
      </c>
      <c r="J2188" s="224"/>
    </row>
    <row r="2189" spans="1:10" s="230" customFormat="1" x14ac:dyDescent="0.25">
      <c r="A2189" s="224">
        <v>525300989</v>
      </c>
      <c r="B2189" s="229" t="s">
        <v>4567</v>
      </c>
      <c r="C2189" s="224" t="s">
        <v>4568</v>
      </c>
      <c r="D2189" s="224" t="s">
        <v>4569</v>
      </c>
      <c r="E2189" s="224" t="s">
        <v>4570</v>
      </c>
      <c r="F2189" s="224"/>
      <c r="G2189" s="224"/>
      <c r="H2189" s="224"/>
      <c r="I2189" s="224" t="s">
        <v>41</v>
      </c>
      <c r="J2189" s="224"/>
    </row>
    <row r="2190" spans="1:10" s="230" customFormat="1" x14ac:dyDescent="0.25">
      <c r="A2190" s="224">
        <v>352002950</v>
      </c>
      <c r="B2190" s="229" t="s">
        <v>4571</v>
      </c>
      <c r="C2190" s="224">
        <v>225</v>
      </c>
      <c r="D2190" s="224">
        <v>38732</v>
      </c>
      <c r="E2190" s="224" t="s">
        <v>1874</v>
      </c>
      <c r="F2190" s="224"/>
      <c r="G2190" s="224"/>
      <c r="H2190" s="224"/>
      <c r="I2190" s="224" t="s">
        <v>262</v>
      </c>
      <c r="J2190" s="224"/>
    </row>
    <row r="2191" spans="1:10" s="230" customFormat="1" x14ac:dyDescent="0.25">
      <c r="A2191" s="224">
        <v>525015358</v>
      </c>
      <c r="B2191" s="229" t="s">
        <v>4572</v>
      </c>
      <c r="C2191" s="224" t="s">
        <v>4573</v>
      </c>
      <c r="D2191" s="224" t="s">
        <v>3104</v>
      </c>
      <c r="E2191" s="224" t="s">
        <v>4574</v>
      </c>
      <c r="F2191" s="224"/>
      <c r="G2191" s="224"/>
      <c r="H2191" s="224"/>
      <c r="I2191" s="224" t="s">
        <v>3038</v>
      </c>
      <c r="J2191" s="224"/>
    </row>
    <row r="2192" spans="1:10" s="230" customFormat="1" x14ac:dyDescent="0.25">
      <c r="A2192" s="224">
        <v>566502000</v>
      </c>
      <c r="B2192" s="229" t="s">
        <v>4575</v>
      </c>
      <c r="C2192" s="224">
        <v>175</v>
      </c>
      <c r="D2192" s="224">
        <v>19758</v>
      </c>
      <c r="E2192" s="224">
        <v>9.51</v>
      </c>
      <c r="F2192" s="224"/>
      <c r="G2192" s="224"/>
      <c r="H2192" s="224"/>
      <c r="I2192" s="224" t="s">
        <v>2096</v>
      </c>
      <c r="J2192" s="224"/>
    </row>
    <row r="2193" spans="1:10" s="230" customFormat="1" x14ac:dyDescent="0.25">
      <c r="A2193" s="224">
        <v>525700899</v>
      </c>
      <c r="B2193" s="229" t="s">
        <v>4576</v>
      </c>
      <c r="C2193" s="224">
        <v>97.3</v>
      </c>
      <c r="D2193" s="224">
        <v>2572</v>
      </c>
      <c r="E2193" s="224">
        <v>4.5999999999999996</v>
      </c>
      <c r="F2193" s="224"/>
      <c r="G2193" s="224"/>
      <c r="H2193" s="224"/>
      <c r="I2193" s="224" t="s">
        <v>4577</v>
      </c>
      <c r="J2193" s="224"/>
    </row>
    <row r="2194" spans="1:10" s="230" customFormat="1" x14ac:dyDescent="0.25">
      <c r="A2194" s="224">
        <v>525009248</v>
      </c>
      <c r="B2194" s="229" t="s">
        <v>4578</v>
      </c>
      <c r="C2194" s="224" t="s">
        <v>4579</v>
      </c>
      <c r="D2194" s="224" t="s">
        <v>4580</v>
      </c>
      <c r="E2194" s="224" t="s">
        <v>4581</v>
      </c>
      <c r="F2194" s="224"/>
      <c r="G2194" s="224"/>
      <c r="H2194" s="224"/>
      <c r="I2194" s="224" t="s">
        <v>4428</v>
      </c>
      <c r="J2194" s="224"/>
    </row>
    <row r="2195" spans="1:10" s="230" customFormat="1" x14ac:dyDescent="0.25">
      <c r="A2195" s="224">
        <v>525601003</v>
      </c>
      <c r="B2195" s="229" t="s">
        <v>4582</v>
      </c>
      <c r="C2195" s="224" t="s">
        <v>4583</v>
      </c>
      <c r="D2195" s="224" t="s">
        <v>992</v>
      </c>
      <c r="E2195" s="224" t="s">
        <v>4584</v>
      </c>
      <c r="F2195" s="224"/>
      <c r="G2195" s="224"/>
      <c r="H2195" s="224"/>
      <c r="I2195" s="224" t="s">
        <v>245</v>
      </c>
      <c r="J2195" s="224"/>
    </row>
    <row r="2196" spans="1:10" s="230" customFormat="1" x14ac:dyDescent="0.25">
      <c r="A2196" s="224">
        <v>525016608</v>
      </c>
      <c r="B2196" s="229" t="s">
        <v>4585</v>
      </c>
      <c r="C2196" s="224">
        <v>93</v>
      </c>
      <c r="D2196" s="224">
        <v>3565</v>
      </c>
      <c r="E2196" s="224" t="s">
        <v>95</v>
      </c>
      <c r="F2196" s="224"/>
      <c r="G2196" s="224"/>
      <c r="H2196" s="224"/>
      <c r="I2196" s="224" t="s">
        <v>96</v>
      </c>
      <c r="J2196" s="224"/>
    </row>
    <row r="2197" spans="1:10" s="230" customFormat="1" x14ac:dyDescent="0.25">
      <c r="A2197" s="224">
        <v>525500530</v>
      </c>
      <c r="B2197" s="229" t="s">
        <v>4586</v>
      </c>
      <c r="C2197" s="224" t="s">
        <v>4587</v>
      </c>
      <c r="D2197" s="224" t="s">
        <v>2824</v>
      </c>
      <c r="E2197" s="224" t="s">
        <v>4588</v>
      </c>
      <c r="F2197" s="224"/>
      <c r="G2197" s="224"/>
      <c r="H2197" s="224"/>
      <c r="I2197" s="224" t="s">
        <v>39</v>
      </c>
      <c r="J2197" s="224"/>
    </row>
    <row r="2198" spans="1:10" s="230" customFormat="1" x14ac:dyDescent="0.25">
      <c r="A2198" s="224">
        <v>525701087</v>
      </c>
      <c r="B2198" s="229" t="s">
        <v>4589</v>
      </c>
      <c r="C2198" s="224">
        <v>123</v>
      </c>
      <c r="D2198" s="224">
        <v>6823</v>
      </c>
      <c r="E2198" s="224" t="s">
        <v>178</v>
      </c>
      <c r="F2198" s="224"/>
      <c r="G2198" s="224"/>
      <c r="H2198" s="224"/>
      <c r="I2198" s="224" t="s">
        <v>45</v>
      </c>
      <c r="J2198" s="224"/>
    </row>
    <row r="2199" spans="1:10" s="230" customFormat="1" x14ac:dyDescent="0.25">
      <c r="A2199" s="224">
        <v>373483000</v>
      </c>
      <c r="B2199" s="229" t="s">
        <v>4590</v>
      </c>
      <c r="C2199" s="224">
        <v>225</v>
      </c>
      <c r="D2199" s="224">
        <v>38731</v>
      </c>
      <c r="E2199" s="224" t="s">
        <v>4591</v>
      </c>
      <c r="F2199" s="224"/>
      <c r="G2199" s="224"/>
      <c r="H2199" s="224"/>
      <c r="I2199" s="224" t="s">
        <v>248</v>
      </c>
      <c r="J2199" s="224"/>
    </row>
    <row r="2200" spans="1:10" s="230" customFormat="1" x14ac:dyDescent="0.25">
      <c r="A2200" s="224">
        <v>413395870</v>
      </c>
      <c r="B2200" s="229" t="s">
        <v>4592</v>
      </c>
      <c r="C2200" s="224">
        <v>142</v>
      </c>
      <c r="D2200" s="224">
        <v>10743</v>
      </c>
      <c r="E2200" s="224" t="s">
        <v>851</v>
      </c>
      <c r="F2200" s="224"/>
      <c r="G2200" s="224"/>
      <c r="H2200" s="224"/>
      <c r="I2200" s="224" t="s">
        <v>2096</v>
      </c>
      <c r="J2200" s="224"/>
    </row>
    <row r="2201" spans="1:10" s="230" customFormat="1" x14ac:dyDescent="0.25">
      <c r="A2201" s="224">
        <v>413542850</v>
      </c>
      <c r="B2201" s="229" t="s">
        <v>4593</v>
      </c>
      <c r="C2201" s="224">
        <v>113</v>
      </c>
      <c r="D2201" s="224">
        <v>5990</v>
      </c>
      <c r="E2201" s="224" t="s">
        <v>112</v>
      </c>
      <c r="F2201" s="224"/>
      <c r="G2201" s="224"/>
      <c r="H2201" s="224"/>
      <c r="I2201" s="224" t="s">
        <v>273</v>
      </c>
      <c r="J2201" s="224"/>
    </row>
    <row r="2202" spans="1:10" s="230" customFormat="1" x14ac:dyDescent="0.25">
      <c r="A2202" s="224">
        <v>525401847</v>
      </c>
      <c r="B2202" s="229" t="s">
        <v>4594</v>
      </c>
      <c r="C2202" s="224">
        <v>129</v>
      </c>
      <c r="D2202" s="224">
        <v>7542</v>
      </c>
      <c r="E2202" s="224" t="s">
        <v>101</v>
      </c>
      <c r="F2202" s="224"/>
      <c r="G2202" s="224"/>
      <c r="H2202" s="224"/>
      <c r="I2202" s="224" t="s">
        <v>41</v>
      </c>
      <c r="J2202" s="224"/>
    </row>
    <row r="2203" spans="1:10" s="230" customFormat="1" x14ac:dyDescent="0.25">
      <c r="A2203" s="224">
        <v>525701031</v>
      </c>
      <c r="B2203" s="229" t="s">
        <v>4595</v>
      </c>
      <c r="C2203" s="224" t="s">
        <v>4596</v>
      </c>
      <c r="D2203" s="224" t="s">
        <v>2956</v>
      </c>
      <c r="E2203" s="224" t="s">
        <v>1267</v>
      </c>
      <c r="F2203" s="224"/>
      <c r="G2203" s="224"/>
      <c r="H2203" s="224"/>
      <c r="I2203" s="224" t="s">
        <v>1870</v>
      </c>
      <c r="J2203" s="224"/>
    </row>
    <row r="2204" spans="1:10" s="230" customFormat="1" x14ac:dyDescent="0.25">
      <c r="A2204" s="224">
        <v>525801064</v>
      </c>
      <c r="B2204" s="229" t="s">
        <v>4597</v>
      </c>
      <c r="C2204" s="224">
        <v>129</v>
      </c>
      <c r="D2204" s="224">
        <v>8214</v>
      </c>
      <c r="E2204" s="224" t="s">
        <v>126</v>
      </c>
      <c r="F2204" s="224"/>
      <c r="G2204" s="224"/>
      <c r="H2204" s="224" t="s">
        <v>4598</v>
      </c>
      <c r="I2204" s="224" t="s">
        <v>3026</v>
      </c>
      <c r="J2204" s="224"/>
    </row>
    <row r="2205" spans="1:10" s="230" customFormat="1" x14ac:dyDescent="0.25">
      <c r="A2205" s="224">
        <v>538011513</v>
      </c>
      <c r="B2205" s="229" t="s">
        <v>4599</v>
      </c>
      <c r="C2205" s="224" t="s">
        <v>3643</v>
      </c>
      <c r="D2205" s="224">
        <v>23232</v>
      </c>
      <c r="E2205" s="224" t="s">
        <v>917</v>
      </c>
      <c r="F2205" s="224"/>
      <c r="G2205" s="224"/>
      <c r="H2205" s="224"/>
      <c r="I2205" s="224" t="s">
        <v>1553</v>
      </c>
      <c r="J2205" s="224"/>
    </row>
    <row r="2206" spans="1:10" s="230" customFormat="1" x14ac:dyDescent="0.25">
      <c r="A2206" s="224">
        <v>525501761</v>
      </c>
      <c r="B2206" s="229" t="s">
        <v>4600</v>
      </c>
      <c r="C2206" s="224">
        <v>44</v>
      </c>
      <c r="D2206" s="224">
        <v>345</v>
      </c>
      <c r="E2206" s="224" t="s">
        <v>101</v>
      </c>
      <c r="F2206" s="224"/>
      <c r="G2206" s="224"/>
      <c r="H2206" s="224"/>
      <c r="I2206" s="224" t="s">
        <v>260</v>
      </c>
      <c r="J2206" s="224"/>
    </row>
    <row r="2207" spans="1:10" s="230" customFormat="1" x14ac:dyDescent="0.25">
      <c r="A2207" s="224">
        <v>525300843</v>
      </c>
      <c r="B2207" s="229" t="s">
        <v>4601</v>
      </c>
      <c r="C2207" s="224" t="s">
        <v>4602</v>
      </c>
      <c r="D2207" s="224" t="s">
        <v>4603</v>
      </c>
      <c r="E2207" s="224" t="s">
        <v>669</v>
      </c>
      <c r="F2207" s="224"/>
      <c r="G2207" s="224"/>
      <c r="H2207" s="224"/>
      <c r="I2207" s="224" t="s">
        <v>245</v>
      </c>
      <c r="J2207" s="224"/>
    </row>
    <row r="2208" spans="1:10" s="230" customFormat="1" x14ac:dyDescent="0.25">
      <c r="A2208" s="224">
        <v>525700147</v>
      </c>
      <c r="B2208" s="229" t="s">
        <v>4604</v>
      </c>
      <c r="C2208" s="224" t="s">
        <v>241</v>
      </c>
      <c r="D2208" s="224" t="s">
        <v>4605</v>
      </c>
      <c r="E2208" s="224" t="s">
        <v>4606</v>
      </c>
      <c r="F2208" s="224"/>
      <c r="G2208" s="224"/>
      <c r="H2208" s="224"/>
      <c r="I2208" s="224" t="s">
        <v>245</v>
      </c>
      <c r="J2208" s="224"/>
    </row>
    <row r="2209" spans="1:10" s="230" customFormat="1" x14ac:dyDescent="0.25">
      <c r="A2209" s="224">
        <v>525015863</v>
      </c>
      <c r="B2209" s="229" t="s">
        <v>3062</v>
      </c>
      <c r="C2209" s="224" t="s">
        <v>4607</v>
      </c>
      <c r="D2209" s="224" t="s">
        <v>4608</v>
      </c>
      <c r="E2209" s="224" t="s">
        <v>1934</v>
      </c>
      <c r="F2209" s="224"/>
      <c r="G2209" s="224"/>
      <c r="H2209" s="224"/>
      <c r="I2209" s="224" t="s">
        <v>46</v>
      </c>
      <c r="J2209" s="224"/>
    </row>
    <row r="2210" spans="1:10" s="230" customFormat="1" x14ac:dyDescent="0.25">
      <c r="A2210" s="224">
        <v>525601536</v>
      </c>
      <c r="B2210" s="229" t="s">
        <v>4609</v>
      </c>
      <c r="C2210" s="224" t="s">
        <v>4610</v>
      </c>
      <c r="D2210" s="224" t="s">
        <v>4611</v>
      </c>
      <c r="E2210" s="224" t="s">
        <v>4612</v>
      </c>
      <c r="F2210" s="224"/>
      <c r="G2210" s="224"/>
      <c r="H2210" s="224"/>
      <c r="I2210" s="224" t="s">
        <v>39</v>
      </c>
      <c r="J2210" s="224"/>
    </row>
    <row r="2211" spans="1:10" s="230" customFormat="1" x14ac:dyDescent="0.25">
      <c r="A2211" s="224">
        <v>373259000</v>
      </c>
      <c r="B2211" s="229" t="s">
        <v>2958</v>
      </c>
      <c r="C2211" s="224">
        <v>176</v>
      </c>
      <c r="D2211" s="224">
        <v>25328</v>
      </c>
      <c r="E2211" s="224">
        <v>10.8</v>
      </c>
      <c r="F2211" s="224"/>
      <c r="G2211" s="224"/>
      <c r="H2211" s="224"/>
      <c r="I2211" s="224" t="s">
        <v>160</v>
      </c>
      <c r="J2211" s="224"/>
    </row>
    <row r="2212" spans="1:10" s="230" customFormat="1" x14ac:dyDescent="0.25">
      <c r="A2212" s="224">
        <v>525300599</v>
      </c>
      <c r="B2212" s="229" t="s">
        <v>4613</v>
      </c>
      <c r="C2212" s="224" t="s">
        <v>4614</v>
      </c>
      <c r="D2212" s="224" t="s">
        <v>4615</v>
      </c>
      <c r="E2212" s="224" t="s">
        <v>4616</v>
      </c>
      <c r="F2212" s="224"/>
      <c r="G2212" s="224"/>
      <c r="H2212" s="224"/>
      <c r="I2212" s="224" t="s">
        <v>39</v>
      </c>
      <c r="J2212" s="224"/>
    </row>
    <row r="2213" spans="1:10" s="230" customFormat="1" x14ac:dyDescent="0.25">
      <c r="A2213" s="224">
        <v>525201901</v>
      </c>
      <c r="B2213" s="229" t="s">
        <v>4617</v>
      </c>
      <c r="C2213" s="224">
        <v>35.21</v>
      </c>
      <c r="D2213" s="224">
        <v>256</v>
      </c>
      <c r="E2213" s="224">
        <v>2.4</v>
      </c>
      <c r="F2213" s="224"/>
      <c r="G2213" s="224"/>
      <c r="H2213" s="224"/>
      <c r="I2213" s="224" t="s">
        <v>1432</v>
      </c>
      <c r="J2213" s="224"/>
    </row>
    <row r="2214" spans="1:10" s="230" customFormat="1" x14ac:dyDescent="0.25">
      <c r="A2214" s="224">
        <v>414404110</v>
      </c>
      <c r="B2214" s="229" t="s">
        <v>4618</v>
      </c>
      <c r="C2214" s="224">
        <v>200</v>
      </c>
      <c r="D2214" s="224">
        <v>39129</v>
      </c>
      <c r="E2214" s="224">
        <v>13.2</v>
      </c>
      <c r="F2214" s="224"/>
      <c r="G2214" s="224"/>
      <c r="H2214" s="224"/>
      <c r="I2214" s="224" t="s">
        <v>273</v>
      </c>
      <c r="J2214" s="224"/>
    </row>
    <row r="2215" spans="1:10" s="230" customFormat="1" x14ac:dyDescent="0.25">
      <c r="A2215" s="224">
        <v>533133441</v>
      </c>
      <c r="B2215" s="229" t="s">
        <v>4619</v>
      </c>
      <c r="C2215" s="224">
        <v>175</v>
      </c>
      <c r="D2215" s="224">
        <v>19791</v>
      </c>
      <c r="E2215" s="224">
        <v>5.9</v>
      </c>
      <c r="F2215" s="224"/>
      <c r="G2215" s="224"/>
      <c r="H2215" s="224"/>
      <c r="I2215" s="224" t="s">
        <v>71</v>
      </c>
      <c r="J2215" s="224"/>
    </row>
    <row r="2216" spans="1:10" s="230" customFormat="1" x14ac:dyDescent="0.25">
      <c r="A2216" s="224">
        <v>525201546</v>
      </c>
      <c r="B2216" s="229" t="s">
        <v>4620</v>
      </c>
      <c r="C2216" s="224" t="s">
        <v>4621</v>
      </c>
      <c r="D2216" s="224" t="s">
        <v>2824</v>
      </c>
      <c r="E2216" s="224" t="s">
        <v>4622</v>
      </c>
      <c r="F2216" s="224"/>
      <c r="G2216" s="224"/>
      <c r="H2216" s="224"/>
      <c r="I2216" s="224" t="s">
        <v>160</v>
      </c>
      <c r="J2216" s="224"/>
    </row>
    <row r="2217" spans="1:10" s="230" customFormat="1" x14ac:dyDescent="0.25">
      <c r="A2217" s="7">
        <v>525500024</v>
      </c>
      <c r="B2217" s="22" t="s">
        <v>5213</v>
      </c>
      <c r="C2217" s="238"/>
      <c r="D2217" s="238"/>
      <c r="E2217" s="238"/>
      <c r="F2217" s="238"/>
      <c r="G2217" s="238"/>
      <c r="H2217" s="238"/>
      <c r="I2217" s="23" t="s">
        <v>249</v>
      </c>
      <c r="J2217" s="238"/>
    </row>
    <row r="2218" spans="1:10" s="230" customFormat="1" x14ac:dyDescent="0.25">
      <c r="A2218" s="7">
        <v>258028000</v>
      </c>
      <c r="B2218" s="22" t="s">
        <v>5203</v>
      </c>
      <c r="C2218" s="238">
        <v>182</v>
      </c>
      <c r="D2218" s="238">
        <v>27547</v>
      </c>
      <c r="E2218" s="238">
        <v>12.8</v>
      </c>
      <c r="F2218" s="238"/>
      <c r="G2218" s="238"/>
      <c r="H2218" s="238"/>
      <c r="I2218" s="239"/>
      <c r="J2218" s="238"/>
    </row>
    <row r="2219" spans="1:10" s="230" customFormat="1" x14ac:dyDescent="0.25">
      <c r="A2219" s="7">
        <v>525121069</v>
      </c>
      <c r="B2219" s="22" t="s">
        <v>5204</v>
      </c>
      <c r="C2219" s="238">
        <v>111.5</v>
      </c>
      <c r="D2219" s="238">
        <v>4972</v>
      </c>
      <c r="E2219" s="238">
        <v>7.8</v>
      </c>
      <c r="F2219" s="238"/>
      <c r="G2219" s="238"/>
      <c r="H2219" s="238"/>
      <c r="I2219" s="23" t="s">
        <v>1534</v>
      </c>
      <c r="J2219" s="238"/>
    </row>
    <row r="2220" spans="1:10" s="230" customFormat="1" x14ac:dyDescent="0.25">
      <c r="A2220" s="7">
        <v>525901923</v>
      </c>
      <c r="B2220" s="22" t="s">
        <v>5205</v>
      </c>
      <c r="C2220" s="238">
        <v>120.5</v>
      </c>
      <c r="D2220" s="238">
        <v>6552</v>
      </c>
      <c r="E2220" s="238">
        <v>4</v>
      </c>
      <c r="F2220" s="238"/>
      <c r="G2220" s="238"/>
      <c r="H2220" s="238"/>
      <c r="I2220" s="23" t="s">
        <v>2398</v>
      </c>
      <c r="J2220" s="238"/>
    </row>
    <row r="2221" spans="1:10" s="230" customFormat="1" x14ac:dyDescent="0.25">
      <c r="A2221" s="7">
        <v>525200134</v>
      </c>
      <c r="B2221" s="22" t="s">
        <v>5206</v>
      </c>
      <c r="C2221" s="10" t="s">
        <v>5207</v>
      </c>
      <c r="D2221" s="10" t="s">
        <v>5208</v>
      </c>
      <c r="E2221" s="10" t="s">
        <v>5209</v>
      </c>
      <c r="F2221" s="238"/>
      <c r="G2221" s="238"/>
      <c r="H2221" s="238"/>
      <c r="I2221" s="239"/>
      <c r="J2221" s="238"/>
    </row>
    <row r="2222" spans="1:10" s="230" customFormat="1" x14ac:dyDescent="0.25">
      <c r="A2222" s="7">
        <v>525201168</v>
      </c>
      <c r="B2222" s="22" t="s">
        <v>5210</v>
      </c>
      <c r="C2222" s="10" t="s">
        <v>5211</v>
      </c>
      <c r="D2222" s="10" t="s">
        <v>5212</v>
      </c>
      <c r="E2222" s="10" t="s">
        <v>79</v>
      </c>
      <c r="F2222" s="238"/>
      <c r="G2222" s="238"/>
      <c r="H2222" s="238"/>
      <c r="I2222" s="239"/>
      <c r="J2222" s="238"/>
    </row>
    <row r="2223" spans="1:10" s="230" customFormat="1" x14ac:dyDescent="0.25">
      <c r="A2223" s="7">
        <v>525110150</v>
      </c>
      <c r="B2223" s="22" t="s">
        <v>5216</v>
      </c>
      <c r="C2223" s="10" t="s">
        <v>5214</v>
      </c>
      <c r="D2223" s="10" t="s">
        <v>5215</v>
      </c>
      <c r="E2223" s="10" t="s">
        <v>4758</v>
      </c>
      <c r="F2223" s="10"/>
      <c r="G2223" s="10"/>
      <c r="H2223" s="10"/>
      <c r="I2223" s="23" t="s">
        <v>92</v>
      </c>
      <c r="J2223" s="10"/>
    </row>
    <row r="2224" spans="1:10" s="230" customFormat="1" x14ac:dyDescent="0.25">
      <c r="A2224" s="7">
        <v>525020213</v>
      </c>
      <c r="B2224" s="22" t="s">
        <v>5217</v>
      </c>
      <c r="C2224" s="10" t="s">
        <v>5219</v>
      </c>
      <c r="D2224" s="10" t="s">
        <v>5220</v>
      </c>
      <c r="E2224" s="10" t="s">
        <v>5221</v>
      </c>
      <c r="F2224" s="10"/>
      <c r="G2224" s="10"/>
      <c r="H2224" s="10"/>
      <c r="I2224" s="23"/>
      <c r="J2224" s="10"/>
    </row>
    <row r="2225" spans="1:10" s="230" customFormat="1" x14ac:dyDescent="0.25">
      <c r="A2225" s="7">
        <v>352004451</v>
      </c>
      <c r="B2225" s="22" t="s">
        <v>5218</v>
      </c>
      <c r="C2225" s="10">
        <v>116</v>
      </c>
      <c r="D2225" s="10">
        <v>5512</v>
      </c>
      <c r="E2225" s="10">
        <v>4.5999999999999996</v>
      </c>
      <c r="F2225" s="10"/>
      <c r="G2225" s="10"/>
      <c r="H2225" s="10"/>
      <c r="I2225" s="23"/>
      <c r="J2225" s="10"/>
    </row>
    <row r="2226" spans="1:10" s="230" customFormat="1" x14ac:dyDescent="0.25">
      <c r="A2226" s="7">
        <v>353708000</v>
      </c>
      <c r="B2226" s="22" t="s">
        <v>5270</v>
      </c>
      <c r="C2226" s="10">
        <v>187</v>
      </c>
      <c r="D2226" s="10">
        <v>27198</v>
      </c>
      <c r="E2226" s="10">
        <v>7</v>
      </c>
      <c r="F2226" s="10"/>
      <c r="G2226" s="10"/>
      <c r="H2226" s="10"/>
      <c r="I2226" s="23"/>
      <c r="J2226" s="10"/>
    </row>
    <row r="2227" spans="1:10" s="230" customFormat="1" x14ac:dyDescent="0.25">
      <c r="A2227" s="7">
        <v>525701057</v>
      </c>
      <c r="B2227" s="22" t="s">
        <v>5271</v>
      </c>
      <c r="C2227" s="10" t="s">
        <v>5272</v>
      </c>
      <c r="D2227" s="10" t="s">
        <v>5273</v>
      </c>
      <c r="E2227" s="40" t="s">
        <v>492</v>
      </c>
      <c r="F2227" s="243"/>
      <c r="G2227" s="243"/>
      <c r="H2227" s="243"/>
      <c r="I2227" s="244"/>
      <c r="J2227" s="243"/>
    </row>
    <row r="2228" spans="1:10" s="230" customFormat="1" x14ac:dyDescent="0.25">
      <c r="A2228" s="7">
        <v>352005898</v>
      </c>
      <c r="B2228" s="22" t="s">
        <v>5274</v>
      </c>
      <c r="C2228" s="243">
        <v>100</v>
      </c>
      <c r="D2228" s="243">
        <v>3723</v>
      </c>
      <c r="E2228" s="243">
        <v>4.9000000000000004</v>
      </c>
      <c r="F2228" s="243"/>
      <c r="G2228" s="243"/>
      <c r="H2228" s="243"/>
      <c r="I2228" s="244"/>
      <c r="J2228" s="243"/>
    </row>
    <row r="2229" spans="1:10" s="230" customFormat="1" x14ac:dyDescent="0.25">
      <c r="A2229" s="7">
        <v>268264700</v>
      </c>
      <c r="B2229" s="22" t="s">
        <v>5275</v>
      </c>
      <c r="C2229" s="243">
        <v>189</v>
      </c>
      <c r="D2229" s="243">
        <v>28171</v>
      </c>
      <c r="E2229" s="243">
        <v>12.4</v>
      </c>
      <c r="F2229" s="243"/>
      <c r="G2229" s="243"/>
      <c r="H2229" s="243"/>
      <c r="I2229" s="244"/>
      <c r="J2229" s="243"/>
    </row>
    <row r="2230" spans="1:10" s="230" customFormat="1" x14ac:dyDescent="0.25">
      <c r="A2230" s="7">
        <v>525301431</v>
      </c>
      <c r="B2230" s="22" t="s">
        <v>5276</v>
      </c>
      <c r="C2230" s="10" t="s">
        <v>296</v>
      </c>
      <c r="D2230" s="10" t="s">
        <v>1108</v>
      </c>
      <c r="E2230" s="10" t="s">
        <v>4638</v>
      </c>
      <c r="F2230" s="243"/>
      <c r="G2230" s="243"/>
      <c r="H2230" s="243"/>
      <c r="I2230" s="244"/>
      <c r="J2230" s="243"/>
    </row>
    <row r="2231" spans="1:10" s="230" customFormat="1" x14ac:dyDescent="0.25">
      <c r="A2231" s="7">
        <v>525022220</v>
      </c>
      <c r="B2231" s="22" t="s">
        <v>5282</v>
      </c>
      <c r="C2231" s="243"/>
      <c r="D2231" s="243"/>
      <c r="E2231" s="243"/>
      <c r="F2231" s="243"/>
      <c r="G2231" s="243"/>
      <c r="H2231" s="243"/>
      <c r="I2231" s="244"/>
      <c r="J2231" s="243"/>
    </row>
    <row r="2232" spans="1:10" s="230" customFormat="1" x14ac:dyDescent="0.25">
      <c r="A2232" s="7">
        <v>525601891</v>
      </c>
      <c r="B2232" s="22" t="s">
        <v>5277</v>
      </c>
      <c r="C2232" s="10" t="s">
        <v>1981</v>
      </c>
      <c r="D2232" s="10" t="s">
        <v>5279</v>
      </c>
      <c r="E2232" s="10" t="s">
        <v>5280</v>
      </c>
      <c r="F2232" s="243"/>
      <c r="G2232" s="243"/>
      <c r="H2232" s="243"/>
      <c r="I2232" s="244"/>
      <c r="J2232" s="243"/>
    </row>
    <row r="2233" spans="1:10" s="230" customFormat="1" x14ac:dyDescent="0.25">
      <c r="A2233" s="7">
        <v>636016436</v>
      </c>
      <c r="B2233" s="22" t="s">
        <v>5281</v>
      </c>
      <c r="C2233" s="243">
        <v>281</v>
      </c>
      <c r="D2233" s="243">
        <v>45803</v>
      </c>
      <c r="E2233" s="243">
        <v>10.3</v>
      </c>
      <c r="F2233" s="243"/>
      <c r="G2233" s="243"/>
      <c r="H2233" s="243"/>
      <c r="I2233" s="244"/>
      <c r="J2233" s="243"/>
    </row>
    <row r="2234" spans="1:10" s="230" customFormat="1" x14ac:dyDescent="0.25">
      <c r="A2234" s="7">
        <v>525401864</v>
      </c>
      <c r="B2234" s="22" t="s">
        <v>5278</v>
      </c>
      <c r="C2234" s="243">
        <v>98</v>
      </c>
      <c r="D2234" s="243">
        <v>3420</v>
      </c>
      <c r="E2234" s="243">
        <v>4.9000000000000004</v>
      </c>
      <c r="F2234" s="243"/>
      <c r="G2234" s="243"/>
      <c r="H2234" s="243"/>
      <c r="I2234" s="23" t="s">
        <v>96</v>
      </c>
      <c r="J2234" s="243"/>
    </row>
    <row r="2235" spans="1:10" s="230" customFormat="1" x14ac:dyDescent="0.25">
      <c r="A2235" s="7">
        <v>373291000</v>
      </c>
      <c r="B2235" s="22" t="s">
        <v>5283</v>
      </c>
      <c r="C2235" s="243">
        <v>229</v>
      </c>
      <c r="D2235" s="243">
        <v>43897</v>
      </c>
      <c r="E2235" s="243">
        <v>8.1999999999999993</v>
      </c>
      <c r="F2235" s="243"/>
      <c r="G2235" s="243"/>
      <c r="H2235" s="243"/>
      <c r="I2235" s="244"/>
      <c r="J2235" s="243"/>
    </row>
    <row r="2236" spans="1:10" s="230" customFormat="1" x14ac:dyDescent="0.25">
      <c r="A2236" s="7">
        <v>525201012</v>
      </c>
      <c r="B2236" s="22" t="s">
        <v>5284</v>
      </c>
      <c r="C2236" s="10" t="s">
        <v>5285</v>
      </c>
      <c r="D2236" s="10" t="s">
        <v>5286</v>
      </c>
      <c r="E2236" s="10" t="s">
        <v>1569</v>
      </c>
      <c r="F2236" s="243"/>
      <c r="G2236" s="243"/>
      <c r="H2236" s="243"/>
      <c r="I2236" s="244"/>
      <c r="J2236" s="243"/>
    </row>
    <row r="2237" spans="1:10" s="230" customFormat="1" x14ac:dyDescent="0.25">
      <c r="A2237" s="7">
        <v>538005225</v>
      </c>
      <c r="B2237" s="22" t="s">
        <v>5287</v>
      </c>
      <c r="C2237" s="243">
        <v>183</v>
      </c>
      <c r="D2237" s="243">
        <v>29785</v>
      </c>
      <c r="E2237" s="243">
        <v>9.4</v>
      </c>
      <c r="F2237" s="243"/>
      <c r="G2237" s="243"/>
      <c r="H2237" s="243"/>
      <c r="I2237" s="23" t="s">
        <v>160</v>
      </c>
      <c r="J2237" s="243"/>
    </row>
    <row r="2238" spans="1:10" s="230" customFormat="1" x14ac:dyDescent="0.25">
      <c r="A2238" s="7">
        <v>255915565</v>
      </c>
      <c r="B2238" s="22" t="s">
        <v>2441</v>
      </c>
      <c r="C2238" s="243">
        <v>135</v>
      </c>
      <c r="D2238" s="243">
        <v>10421</v>
      </c>
      <c r="E2238" s="243">
        <v>7</v>
      </c>
      <c r="F2238" s="243"/>
      <c r="G2238" s="243"/>
      <c r="H2238" s="243"/>
      <c r="I2238" s="23" t="s">
        <v>2398</v>
      </c>
      <c r="J2238" s="243"/>
    </row>
    <row r="2239" spans="1:10" s="230" customFormat="1" x14ac:dyDescent="0.25">
      <c r="A2239" s="7">
        <v>414266000</v>
      </c>
      <c r="B2239" s="22" t="s">
        <v>5288</v>
      </c>
      <c r="C2239" s="10">
        <v>225</v>
      </c>
      <c r="D2239" s="10">
        <v>40622</v>
      </c>
      <c r="E2239" s="10">
        <v>7.3</v>
      </c>
      <c r="F2239" s="10"/>
      <c r="G2239" s="10"/>
      <c r="H2239" s="10"/>
      <c r="I2239" s="23" t="s">
        <v>154</v>
      </c>
      <c r="J2239" s="10"/>
    </row>
    <row r="2240" spans="1:10" s="230" customFormat="1" x14ac:dyDescent="0.25">
      <c r="A2240" s="7">
        <v>370189000</v>
      </c>
      <c r="B2240" s="22" t="s">
        <v>5289</v>
      </c>
      <c r="C2240" s="10">
        <v>174</v>
      </c>
      <c r="D2240" s="10">
        <v>22314</v>
      </c>
      <c r="E2240" s="10">
        <v>6.8</v>
      </c>
      <c r="F2240" s="10"/>
      <c r="G2240" s="10"/>
      <c r="H2240" s="10"/>
      <c r="I2240" s="23"/>
      <c r="J2240" s="10"/>
    </row>
    <row r="2241" spans="1:10" s="230" customFormat="1" x14ac:dyDescent="0.25">
      <c r="A2241" s="7">
        <v>413309980</v>
      </c>
      <c r="B2241" s="22" t="s">
        <v>5290</v>
      </c>
      <c r="C2241" s="10">
        <v>177</v>
      </c>
      <c r="D2241" s="10">
        <v>18722</v>
      </c>
      <c r="E2241" s="10">
        <v>8.4</v>
      </c>
      <c r="F2241" s="10"/>
      <c r="G2241" s="10"/>
      <c r="H2241" s="10"/>
      <c r="I2241" s="23"/>
      <c r="J2241" s="10"/>
    </row>
    <row r="2242" spans="1:10" s="230" customFormat="1" x14ac:dyDescent="0.25">
      <c r="A2242" s="7">
        <v>636021044</v>
      </c>
      <c r="B2242" s="22" t="s">
        <v>5291</v>
      </c>
      <c r="C2242" s="10">
        <v>229</v>
      </c>
      <c r="D2242" s="10">
        <v>44306</v>
      </c>
      <c r="E2242" s="10">
        <v>7.9</v>
      </c>
      <c r="F2242" s="10"/>
      <c r="G2242" s="10"/>
      <c r="H2242" s="10"/>
      <c r="I2242" s="23"/>
      <c r="J2242" s="10"/>
    </row>
    <row r="2243" spans="1:10" s="230" customFormat="1" x14ac:dyDescent="0.25">
      <c r="A2243" s="7">
        <v>525701079</v>
      </c>
      <c r="B2243" s="22" t="s">
        <v>5292</v>
      </c>
      <c r="C2243" s="10" t="s">
        <v>5298</v>
      </c>
      <c r="D2243" s="10" t="s">
        <v>5299</v>
      </c>
      <c r="E2243" s="10" t="s">
        <v>5300</v>
      </c>
      <c r="F2243" s="238"/>
      <c r="G2243" s="238"/>
      <c r="H2243" s="238"/>
      <c r="I2243" s="239"/>
      <c r="J2243" s="238"/>
    </row>
    <row r="2244" spans="1:10" s="230" customFormat="1" x14ac:dyDescent="0.25">
      <c r="A2244" s="7">
        <v>525110163</v>
      </c>
      <c r="B2244" s="22" t="s">
        <v>5293</v>
      </c>
      <c r="C2244" s="10" t="s">
        <v>5171</v>
      </c>
      <c r="D2244" s="10" t="s">
        <v>5294</v>
      </c>
      <c r="E2244" s="10" t="s">
        <v>2080</v>
      </c>
      <c r="F2244" s="243"/>
      <c r="G2244" s="243"/>
      <c r="H2244" s="243"/>
      <c r="I2244" s="244"/>
      <c r="J2244" s="243"/>
    </row>
    <row r="2245" spans="1:10" s="230" customFormat="1" x14ac:dyDescent="0.25">
      <c r="A2245" s="7">
        <v>525901398</v>
      </c>
      <c r="B2245" s="22" t="s">
        <v>5295</v>
      </c>
      <c r="C2245" s="10" t="s">
        <v>501</v>
      </c>
      <c r="D2245" s="10" t="s">
        <v>5296</v>
      </c>
      <c r="E2245" s="10" t="s">
        <v>5297</v>
      </c>
      <c r="F2245" s="243"/>
      <c r="G2245" s="243"/>
      <c r="H2245" s="243"/>
      <c r="I2245" s="244"/>
      <c r="J2245" s="243"/>
    </row>
    <row r="2246" spans="1:10" s="230" customFormat="1" x14ac:dyDescent="0.25">
      <c r="A2246" s="7">
        <v>352005225</v>
      </c>
      <c r="B2246" s="22" t="s">
        <v>5310</v>
      </c>
      <c r="C2246" s="243">
        <v>190</v>
      </c>
      <c r="D2246" s="243">
        <v>31999</v>
      </c>
      <c r="E2246" s="243">
        <v>6.5</v>
      </c>
      <c r="F2246" s="243"/>
      <c r="G2246" s="243"/>
      <c r="H2246" s="243"/>
      <c r="I2246" s="23" t="s">
        <v>273</v>
      </c>
      <c r="J2246" s="243"/>
    </row>
    <row r="2247" spans="1:10" s="230" customFormat="1" x14ac:dyDescent="0.25">
      <c r="A2247" s="7">
        <v>636015513</v>
      </c>
      <c r="B2247" s="22" t="s">
        <v>5311</v>
      </c>
      <c r="C2247" s="243">
        <v>229</v>
      </c>
      <c r="D2247" s="243">
        <v>51265</v>
      </c>
      <c r="E2247" s="243">
        <v>14.2</v>
      </c>
      <c r="F2247" s="243"/>
      <c r="G2247" s="243"/>
      <c r="H2247" s="243"/>
      <c r="I2247" s="244"/>
      <c r="J2247" s="243"/>
    </row>
    <row r="2248" spans="1:10" s="230" customFormat="1" x14ac:dyDescent="0.25">
      <c r="A2248" s="7">
        <v>525003391</v>
      </c>
      <c r="B2248" s="22" t="s">
        <v>5312</v>
      </c>
      <c r="C2248" s="243">
        <v>112</v>
      </c>
      <c r="D2248" s="243">
        <v>4124</v>
      </c>
      <c r="E2248" s="243">
        <v>5.3</v>
      </c>
      <c r="F2248" s="243"/>
      <c r="G2248" s="243"/>
      <c r="H2248" s="243"/>
      <c r="I2248" s="23" t="s">
        <v>1870</v>
      </c>
      <c r="J2248" s="243"/>
    </row>
    <row r="2249" spans="1:10" s="230" customFormat="1" x14ac:dyDescent="0.25">
      <c r="A2249" s="7">
        <v>525021356</v>
      </c>
      <c r="B2249" s="22" t="s">
        <v>5313</v>
      </c>
      <c r="C2249" s="243">
        <v>88</v>
      </c>
      <c r="D2249" s="243">
        <v>2099</v>
      </c>
      <c r="E2249" s="243">
        <v>2</v>
      </c>
      <c r="F2249" s="243"/>
      <c r="G2249" s="243"/>
      <c r="H2249" s="243"/>
      <c r="I2249" s="23" t="s">
        <v>96</v>
      </c>
      <c r="J2249" s="243"/>
    </row>
    <row r="2250" spans="1:10" s="230" customFormat="1" x14ac:dyDescent="0.25">
      <c r="A2250" s="7">
        <v>358518000</v>
      </c>
      <c r="B2250" s="242"/>
      <c r="C2250" s="243"/>
      <c r="D2250" s="243"/>
      <c r="E2250" s="243"/>
      <c r="F2250" s="243"/>
      <c r="G2250" s="243"/>
      <c r="H2250" s="243"/>
      <c r="I2250" s="244"/>
      <c r="J2250" s="243"/>
    </row>
    <row r="2251" spans="1:10" s="230" customFormat="1" x14ac:dyDescent="0.25">
      <c r="A2251" s="241"/>
      <c r="B2251" s="242"/>
      <c r="C2251" s="243"/>
      <c r="D2251" s="243"/>
      <c r="E2251" s="243"/>
      <c r="F2251" s="243"/>
      <c r="G2251" s="243"/>
      <c r="H2251" s="243"/>
      <c r="I2251" s="244"/>
      <c r="J2251" s="243"/>
    </row>
    <row r="2252" spans="1:10" s="230" customFormat="1" x14ac:dyDescent="0.25">
      <c r="A2252" s="241"/>
      <c r="B2252" s="242"/>
      <c r="C2252" s="243"/>
      <c r="D2252" s="243"/>
      <c r="E2252" s="243"/>
      <c r="F2252" s="243"/>
      <c r="G2252" s="243"/>
      <c r="H2252" s="243"/>
      <c r="I2252" s="244"/>
      <c r="J2252" s="243"/>
    </row>
    <row r="2253" spans="1:10" s="230" customFormat="1" x14ac:dyDescent="0.25">
      <c r="A2253" s="241"/>
      <c r="B2253" s="242"/>
      <c r="C2253" s="243"/>
      <c r="D2253" s="243"/>
      <c r="E2253" s="243"/>
      <c r="F2253" s="243"/>
      <c r="G2253" s="243"/>
      <c r="H2253" s="243"/>
      <c r="I2253" s="244"/>
      <c r="J2253" s="243"/>
    </row>
    <row r="2254" spans="1:10" s="230" customFormat="1" x14ac:dyDescent="0.25">
      <c r="A2254" s="241"/>
      <c r="B2254" s="242"/>
      <c r="C2254" s="243"/>
      <c r="D2254" s="243"/>
      <c r="E2254" s="243"/>
      <c r="F2254" s="243"/>
      <c r="G2254" s="243"/>
      <c r="H2254" s="243"/>
      <c r="I2254" s="244"/>
      <c r="J2254" s="243"/>
    </row>
    <row r="2255" spans="1:10" s="230" customFormat="1" x14ac:dyDescent="0.25">
      <c r="A2255" s="236"/>
      <c r="B2255" s="237"/>
      <c r="C2255" s="238"/>
      <c r="D2255" s="238"/>
      <c r="E2255" s="238"/>
      <c r="F2255" s="238"/>
      <c r="G2255" s="238"/>
      <c r="H2255" s="238"/>
      <c r="I2255" s="239"/>
      <c r="J2255" s="238"/>
    </row>
    <row r="2256" spans="1:10" s="230" customFormat="1" x14ac:dyDescent="0.25">
      <c r="A2256" s="224">
        <v>525701899</v>
      </c>
      <c r="B2256" s="229" t="s">
        <v>4623</v>
      </c>
      <c r="C2256" s="224" t="s">
        <v>4624</v>
      </c>
      <c r="D2256" s="224" t="s">
        <v>4625</v>
      </c>
      <c r="E2256" s="224" t="s">
        <v>4626</v>
      </c>
      <c r="F2256" s="224"/>
      <c r="G2256" s="224"/>
      <c r="H2256" s="224" t="s">
        <v>4627</v>
      </c>
      <c r="I2256" s="224" t="s">
        <v>3038</v>
      </c>
      <c r="J2256" s="224"/>
    </row>
    <row r="2257" spans="1:10" s="230" customFormat="1" x14ac:dyDescent="0.25">
      <c r="A2257" s="224">
        <v>538011383</v>
      </c>
      <c r="B2257" s="229" t="s">
        <v>4628</v>
      </c>
      <c r="C2257" s="224">
        <v>199</v>
      </c>
      <c r="D2257" s="224">
        <v>35990</v>
      </c>
      <c r="E2257" s="224">
        <v>10.6</v>
      </c>
      <c r="F2257" s="224"/>
      <c r="G2257" s="224"/>
      <c r="H2257" s="224"/>
      <c r="I2257" s="224" t="s">
        <v>591</v>
      </c>
      <c r="J2257" s="224"/>
    </row>
    <row r="2258" spans="1:10" s="230" customFormat="1" x14ac:dyDescent="0.25">
      <c r="A2258" s="224">
        <v>373549000</v>
      </c>
      <c r="B2258" s="229" t="s">
        <v>4629</v>
      </c>
      <c r="C2258" s="224">
        <v>125</v>
      </c>
      <c r="D2258" s="224">
        <v>9980</v>
      </c>
      <c r="E2258" s="224">
        <v>7.1</v>
      </c>
      <c r="F2258" s="224"/>
      <c r="G2258" s="224"/>
      <c r="H2258" s="224"/>
      <c r="I2258" s="224" t="s">
        <v>262</v>
      </c>
      <c r="J2258" s="224"/>
    </row>
    <row r="2259" spans="1:10" s="230" customFormat="1" x14ac:dyDescent="0.25">
      <c r="A2259" s="224">
        <v>210601000</v>
      </c>
      <c r="B2259" s="229" t="s">
        <v>4630</v>
      </c>
      <c r="C2259" s="224">
        <v>212</v>
      </c>
      <c r="D2259" s="224">
        <v>35708</v>
      </c>
      <c r="E2259" s="224">
        <v>10.4</v>
      </c>
      <c r="F2259" s="224"/>
      <c r="G2259" s="224"/>
      <c r="H2259" s="224"/>
      <c r="I2259" s="224" t="s">
        <v>71</v>
      </c>
      <c r="J2259" s="224"/>
    </row>
    <row r="2260" spans="1:10" s="230" customFormat="1" x14ac:dyDescent="0.25">
      <c r="A2260" s="224">
        <v>636019819</v>
      </c>
      <c r="B2260" s="229" t="s">
        <v>4631</v>
      </c>
      <c r="C2260" s="224">
        <v>199</v>
      </c>
      <c r="D2260" s="224">
        <v>34582</v>
      </c>
      <c r="E2260" s="224">
        <v>12.4</v>
      </c>
      <c r="F2260" s="224"/>
      <c r="G2260" s="224"/>
      <c r="H2260" s="224"/>
      <c r="I2260" s="224" t="s">
        <v>262</v>
      </c>
      <c r="J2260" s="224"/>
    </row>
    <row r="2261" spans="1:10" s="230" customFormat="1" x14ac:dyDescent="0.25">
      <c r="A2261" s="224">
        <v>525500300</v>
      </c>
      <c r="B2261" s="229" t="s">
        <v>4632</v>
      </c>
      <c r="C2261" s="224">
        <v>36</v>
      </c>
      <c r="D2261" s="224">
        <v>310</v>
      </c>
      <c r="E2261" s="224" t="s">
        <v>126</v>
      </c>
      <c r="F2261" s="224"/>
      <c r="G2261" s="224"/>
      <c r="H2261" s="224"/>
      <c r="I2261" s="224" t="s">
        <v>183</v>
      </c>
      <c r="J2261" s="224"/>
    </row>
    <row r="2262" spans="1:10" s="230" customFormat="1" x14ac:dyDescent="0.25">
      <c r="A2262" s="224">
        <v>525008119</v>
      </c>
      <c r="B2262" s="229" t="s">
        <v>3364</v>
      </c>
      <c r="C2262" s="224">
        <v>157</v>
      </c>
      <c r="D2262" s="224">
        <v>14458</v>
      </c>
      <c r="E2262" s="224">
        <v>5.3</v>
      </c>
      <c r="F2262" s="224"/>
      <c r="G2262" s="224"/>
      <c r="H2262" s="224"/>
      <c r="I2262" s="224" t="s">
        <v>96</v>
      </c>
      <c r="J2262" s="224"/>
    </row>
    <row r="2263" spans="1:10" s="230" customFormat="1" x14ac:dyDescent="0.25">
      <c r="A2263" s="224">
        <v>525701215</v>
      </c>
      <c r="B2263" s="229" t="s">
        <v>4633</v>
      </c>
      <c r="C2263" s="224" t="s">
        <v>4634</v>
      </c>
      <c r="D2263" s="224" t="s">
        <v>3565</v>
      </c>
      <c r="E2263" s="224" t="s">
        <v>2301</v>
      </c>
      <c r="F2263" s="224"/>
      <c r="G2263" s="224"/>
      <c r="H2263" s="224"/>
      <c r="I2263" s="224" t="s">
        <v>249</v>
      </c>
      <c r="J2263" s="224"/>
    </row>
    <row r="2264" spans="1:10" s="230" customFormat="1" x14ac:dyDescent="0.25">
      <c r="A2264" s="224">
        <v>525801799</v>
      </c>
      <c r="B2264" s="229" t="s">
        <v>4635</v>
      </c>
      <c r="C2264" s="224" t="s">
        <v>4636</v>
      </c>
      <c r="D2264" s="224" t="s">
        <v>4637</v>
      </c>
      <c r="E2264" s="224" t="s">
        <v>4638</v>
      </c>
      <c r="F2264" s="224"/>
      <c r="G2264" s="224"/>
      <c r="H2264" s="224"/>
      <c r="I2264" s="224" t="s">
        <v>245</v>
      </c>
      <c r="J2264" s="224"/>
    </row>
    <row r="2265" spans="1:10" s="230" customFormat="1" x14ac:dyDescent="0.25">
      <c r="A2265" s="224">
        <v>413311110</v>
      </c>
      <c r="B2265" s="229" t="s">
        <v>4639</v>
      </c>
      <c r="C2265" s="224">
        <v>112</v>
      </c>
      <c r="D2265" s="224">
        <v>4605</v>
      </c>
      <c r="E2265" s="224" t="s">
        <v>112</v>
      </c>
      <c r="F2265" s="224"/>
      <c r="G2265" s="224"/>
      <c r="H2265" s="224"/>
      <c r="I2265" s="224" t="s">
        <v>1976</v>
      </c>
      <c r="J2265" s="224"/>
    </row>
    <row r="2266" spans="1:10" s="230" customFormat="1" x14ac:dyDescent="0.25">
      <c r="A2266" s="224">
        <v>357465000</v>
      </c>
      <c r="B2266" s="229" t="s">
        <v>4640</v>
      </c>
      <c r="C2266" s="224">
        <v>190</v>
      </c>
      <c r="D2266" s="224">
        <v>31764</v>
      </c>
      <c r="E2266" s="224" t="s">
        <v>4641</v>
      </c>
      <c r="F2266" s="224"/>
      <c r="G2266" s="224"/>
      <c r="H2266" s="224"/>
      <c r="I2266" s="224" t="s">
        <v>248</v>
      </c>
      <c r="J2266" s="224"/>
    </row>
    <row r="2267" spans="1:10" s="230" customFormat="1" x14ac:dyDescent="0.25">
      <c r="A2267" s="224">
        <v>636024027</v>
      </c>
      <c r="B2267" s="229" t="s">
        <v>4642</v>
      </c>
      <c r="C2267" s="224">
        <v>184</v>
      </c>
      <c r="D2267" s="224">
        <v>23451</v>
      </c>
      <c r="E2267" s="224" t="s">
        <v>209</v>
      </c>
      <c r="F2267" s="224"/>
      <c r="G2267" s="224"/>
      <c r="H2267" s="224"/>
      <c r="I2267" s="224" t="s">
        <v>160</v>
      </c>
      <c r="J2267" s="224"/>
    </row>
    <row r="2268" spans="1:10" s="230" customFormat="1" x14ac:dyDescent="0.25">
      <c r="A2268" s="224">
        <v>636023546</v>
      </c>
      <c r="B2268" s="229" t="s">
        <v>4643</v>
      </c>
      <c r="C2268" s="224">
        <v>180</v>
      </c>
      <c r="D2268" s="224">
        <v>24785</v>
      </c>
      <c r="E2268" s="224">
        <v>6.7</v>
      </c>
      <c r="F2268" s="224"/>
      <c r="G2268" s="224"/>
      <c r="H2268" s="224"/>
      <c r="I2268" s="224" t="s">
        <v>71</v>
      </c>
      <c r="J2268" s="224"/>
    </row>
    <row r="2269" spans="1:10" s="230" customFormat="1" x14ac:dyDescent="0.25">
      <c r="A2269" s="224">
        <v>525900772</v>
      </c>
      <c r="B2269" s="229" t="s">
        <v>4644</v>
      </c>
      <c r="C2269" s="224">
        <v>19.54</v>
      </c>
      <c r="D2269" s="224">
        <v>112</v>
      </c>
      <c r="E2269" s="224">
        <v>4.3</v>
      </c>
      <c r="F2269" s="224"/>
      <c r="G2269" s="224"/>
      <c r="H2269" s="224"/>
      <c r="I2269" s="224" t="s">
        <v>39</v>
      </c>
      <c r="J2269" s="224"/>
    </row>
    <row r="2270" spans="1:10" s="230" customFormat="1" x14ac:dyDescent="0.25">
      <c r="A2270" s="224">
        <v>525010270</v>
      </c>
      <c r="B2270" s="229" t="s">
        <v>4645</v>
      </c>
      <c r="C2270" s="224" t="s">
        <v>4646</v>
      </c>
      <c r="D2270" s="224" t="s">
        <v>750</v>
      </c>
      <c r="E2270" s="224" t="s">
        <v>4647</v>
      </c>
      <c r="F2270" s="224"/>
      <c r="G2270" s="224"/>
      <c r="H2270" s="224"/>
      <c r="I2270" s="224" t="s">
        <v>96</v>
      </c>
      <c r="J2270" s="224"/>
    </row>
    <row r="2271" spans="1:10" s="230" customFormat="1" x14ac:dyDescent="0.25">
      <c r="A2271" s="224">
        <v>525701882</v>
      </c>
      <c r="B2271" s="229" t="s">
        <v>4648</v>
      </c>
      <c r="C2271" s="224" t="s">
        <v>4649</v>
      </c>
      <c r="D2271" s="224" t="s">
        <v>4650</v>
      </c>
      <c r="E2271" s="224" t="s">
        <v>4023</v>
      </c>
      <c r="F2271" s="224"/>
      <c r="G2271" s="224"/>
      <c r="H2271" s="224"/>
      <c r="I2271" s="224" t="s">
        <v>245</v>
      </c>
      <c r="J2271" s="224"/>
    </row>
    <row r="2272" spans="1:10" s="230" customFormat="1" x14ac:dyDescent="0.25">
      <c r="A2272" s="224">
        <v>567274000</v>
      </c>
      <c r="B2272" s="229" t="s">
        <v>4651</v>
      </c>
      <c r="C2272" s="224">
        <v>190</v>
      </c>
      <c r="D2272" s="224">
        <v>32661</v>
      </c>
      <c r="E2272" s="224">
        <v>6.8</v>
      </c>
      <c r="F2272" s="224"/>
      <c r="G2272" s="224"/>
      <c r="H2272" s="224"/>
      <c r="I2272" s="224" t="s">
        <v>248</v>
      </c>
      <c r="J2272" s="224"/>
    </row>
    <row r="2273" spans="1:10" s="230" customFormat="1" x14ac:dyDescent="0.25">
      <c r="A2273" s="224">
        <v>525100270</v>
      </c>
      <c r="B2273" s="229" t="s">
        <v>4652</v>
      </c>
      <c r="C2273" s="224">
        <v>93</v>
      </c>
      <c r="D2273" s="224">
        <v>1020</v>
      </c>
      <c r="E2273" s="224">
        <v>4.2</v>
      </c>
      <c r="F2273" s="224"/>
      <c r="G2273" s="224"/>
      <c r="H2273" s="224"/>
      <c r="I2273" s="224" t="s">
        <v>2398</v>
      </c>
      <c r="J2273" s="224"/>
    </row>
    <row r="2274" spans="1:10" s="230" customFormat="1" x14ac:dyDescent="0.25">
      <c r="A2274" s="224">
        <v>525500636</v>
      </c>
      <c r="B2274" s="229" t="s">
        <v>4653</v>
      </c>
      <c r="C2274" s="224" t="s">
        <v>4654</v>
      </c>
      <c r="D2274" s="224" t="s">
        <v>4655</v>
      </c>
      <c r="E2274" s="224" t="s">
        <v>1672</v>
      </c>
      <c r="F2274" s="224"/>
      <c r="G2274" s="224"/>
      <c r="H2274" s="224"/>
      <c r="I2274" s="224" t="s">
        <v>1663</v>
      </c>
      <c r="J2274" s="224"/>
    </row>
    <row r="2275" spans="1:10" s="230" customFormat="1" x14ac:dyDescent="0.25">
      <c r="A2275" s="224">
        <v>232038703</v>
      </c>
      <c r="B2275" s="229" t="s">
        <v>4656</v>
      </c>
      <c r="C2275" s="224">
        <v>229</v>
      </c>
      <c r="D2275" s="224">
        <v>43672</v>
      </c>
      <c r="E2275" s="224">
        <v>8.8000000000000007</v>
      </c>
      <c r="F2275" s="224"/>
      <c r="G2275" s="224"/>
      <c r="H2275" s="224"/>
      <c r="I2275" s="224" t="s">
        <v>71</v>
      </c>
      <c r="J2275" s="224"/>
    </row>
    <row r="2276" spans="1:10" s="230" customFormat="1" x14ac:dyDescent="0.25">
      <c r="A2276" s="224">
        <v>525009052</v>
      </c>
      <c r="B2276" s="229" t="s">
        <v>4657</v>
      </c>
      <c r="C2276" s="224">
        <v>87</v>
      </c>
      <c r="D2276" s="224">
        <v>1994</v>
      </c>
      <c r="E2276" s="224" t="s">
        <v>91</v>
      </c>
      <c r="F2276" s="224"/>
      <c r="G2276" s="224"/>
      <c r="H2276" s="224"/>
      <c r="I2276" s="224" t="s">
        <v>71</v>
      </c>
      <c r="J2276" s="224"/>
    </row>
    <row r="2277" spans="1:10" s="230" customFormat="1" x14ac:dyDescent="0.25">
      <c r="A2277" s="224">
        <v>636021852</v>
      </c>
      <c r="B2277" s="229" t="s">
        <v>4658</v>
      </c>
      <c r="C2277" s="224" t="s">
        <v>1645</v>
      </c>
      <c r="D2277" s="224">
        <v>32962</v>
      </c>
      <c r="E2277" s="224" t="s">
        <v>782</v>
      </c>
      <c r="F2277" s="224"/>
      <c r="G2277" s="224"/>
      <c r="H2277" s="224"/>
      <c r="I2277" s="224" t="s">
        <v>1895</v>
      </c>
      <c r="J2277" s="224"/>
    </row>
    <row r="2278" spans="1:10" s="230" customFormat="1" x14ac:dyDescent="0.25">
      <c r="A2278" s="224">
        <v>352004412</v>
      </c>
      <c r="B2278" s="229" t="s">
        <v>4659</v>
      </c>
      <c r="C2278" s="224">
        <v>174</v>
      </c>
      <c r="D2278" s="224">
        <v>20058</v>
      </c>
      <c r="E2278" s="224" t="s">
        <v>933</v>
      </c>
      <c r="F2278" s="224"/>
      <c r="G2278" s="224"/>
      <c r="H2278" s="224"/>
      <c r="I2278" s="224" t="s">
        <v>160</v>
      </c>
      <c r="J2278" s="224"/>
    </row>
    <row r="2279" spans="1:10" s="230" customFormat="1" x14ac:dyDescent="0.25">
      <c r="A2279" s="224">
        <v>525500260</v>
      </c>
      <c r="B2279" s="229" t="s">
        <v>4660</v>
      </c>
      <c r="C2279" s="224">
        <v>29.65</v>
      </c>
      <c r="D2279" s="224">
        <v>166</v>
      </c>
      <c r="E2279" s="224" t="s">
        <v>3069</v>
      </c>
      <c r="F2279" s="224"/>
      <c r="G2279" s="224"/>
      <c r="H2279" s="224"/>
      <c r="I2279" s="224" t="s">
        <v>1432</v>
      </c>
      <c r="J2279" s="224"/>
    </row>
    <row r="2280" spans="1:10" s="230" customFormat="1" x14ac:dyDescent="0.25">
      <c r="A2280" s="224">
        <v>248914000</v>
      </c>
      <c r="B2280" s="229" t="s">
        <v>4661</v>
      </c>
      <c r="C2280" s="224">
        <v>190</v>
      </c>
      <c r="D2280" s="224">
        <v>33044</v>
      </c>
      <c r="E2280" s="224" t="s">
        <v>834</v>
      </c>
      <c r="F2280" s="224"/>
      <c r="G2280" s="224"/>
      <c r="H2280" s="224"/>
      <c r="I2280" s="224" t="s">
        <v>1895</v>
      </c>
      <c r="J2280" s="224"/>
    </row>
    <row r="2281" spans="1:10" s="230" customFormat="1" x14ac:dyDescent="0.25">
      <c r="A2281" s="224">
        <v>357332000</v>
      </c>
      <c r="B2281" s="229" t="s">
        <v>4662</v>
      </c>
      <c r="C2281" s="224">
        <v>259</v>
      </c>
      <c r="D2281" s="224">
        <v>40631</v>
      </c>
      <c r="E2281" s="224" t="s">
        <v>3288</v>
      </c>
      <c r="F2281" s="224"/>
      <c r="G2281" s="224"/>
      <c r="H2281" s="224"/>
      <c r="I2281" s="224" t="s">
        <v>71</v>
      </c>
      <c r="J2281" s="224"/>
    </row>
    <row r="2282" spans="1:10" s="230" customFormat="1" x14ac:dyDescent="0.25">
      <c r="A2282" s="224">
        <v>525007356</v>
      </c>
      <c r="B2282" s="229" t="s">
        <v>4663</v>
      </c>
      <c r="C2282" s="224" t="s">
        <v>4664</v>
      </c>
      <c r="D2282" s="224" t="s">
        <v>4665</v>
      </c>
      <c r="E2282" s="224" t="s">
        <v>4666</v>
      </c>
      <c r="F2282" s="224"/>
      <c r="G2282" s="224"/>
      <c r="H2282" s="224"/>
      <c r="I2282" s="224" t="s">
        <v>4667</v>
      </c>
      <c r="J2282" s="224"/>
    </row>
    <row r="2283" spans="1:10" s="230" customFormat="1" x14ac:dyDescent="0.25">
      <c r="A2283" s="224">
        <v>525801739</v>
      </c>
      <c r="B2283" s="229" t="s">
        <v>4668</v>
      </c>
      <c r="C2283" s="224" t="s">
        <v>1981</v>
      </c>
      <c r="D2283" s="224" t="s">
        <v>4669</v>
      </c>
      <c r="E2283" s="224" t="s">
        <v>1217</v>
      </c>
      <c r="F2283" s="224"/>
      <c r="G2283" s="224"/>
      <c r="H2283" s="224"/>
      <c r="I2283" s="224" t="s">
        <v>2002</v>
      </c>
      <c r="J2283" s="224"/>
    </row>
    <row r="2284" spans="1:10" s="230" customFormat="1" x14ac:dyDescent="0.25">
      <c r="A2284" s="224">
        <v>370149000</v>
      </c>
      <c r="B2284" s="229" t="s">
        <v>4670</v>
      </c>
      <c r="C2284" s="224">
        <v>189.94</v>
      </c>
      <c r="D2284" s="224">
        <v>30004</v>
      </c>
      <c r="E2284" s="224">
        <v>6.8</v>
      </c>
      <c r="F2284" s="224"/>
      <c r="G2284" s="224"/>
      <c r="H2284" s="224"/>
      <c r="I2284" s="224" t="s">
        <v>1976</v>
      </c>
      <c r="J2284" s="224"/>
    </row>
    <row r="2285" spans="1:10" s="230" customFormat="1" x14ac:dyDescent="0.25">
      <c r="A2285" s="224">
        <v>354797000</v>
      </c>
      <c r="B2285" s="229" t="s">
        <v>4671</v>
      </c>
      <c r="C2285" s="224">
        <v>153</v>
      </c>
      <c r="D2285" s="224">
        <v>14021</v>
      </c>
      <c r="E2285" s="224">
        <v>9.1999999999999993</v>
      </c>
      <c r="F2285" s="224"/>
      <c r="G2285" s="224"/>
      <c r="H2285" s="224"/>
      <c r="I2285" s="224" t="s">
        <v>262</v>
      </c>
      <c r="J2285" s="224"/>
    </row>
    <row r="2286" spans="1:10" s="230" customFormat="1" x14ac:dyDescent="0.25">
      <c r="A2286" s="224">
        <v>525600072</v>
      </c>
      <c r="B2286" s="229" t="s">
        <v>4672</v>
      </c>
      <c r="C2286" s="224" t="s">
        <v>241</v>
      </c>
      <c r="D2286" s="224" t="s">
        <v>4673</v>
      </c>
      <c r="E2286" s="224" t="s">
        <v>4209</v>
      </c>
      <c r="F2286" s="224"/>
      <c r="G2286" s="224"/>
      <c r="H2286" s="224"/>
      <c r="I2286" s="224" t="s">
        <v>46</v>
      </c>
      <c r="J2286" s="224"/>
    </row>
    <row r="2287" spans="1:10" s="230" customFormat="1" x14ac:dyDescent="0.25">
      <c r="A2287" s="224">
        <v>525701830</v>
      </c>
      <c r="B2287" s="229" t="s">
        <v>4674</v>
      </c>
      <c r="C2287" s="224" t="s">
        <v>4675</v>
      </c>
      <c r="D2287" s="224" t="s">
        <v>4676</v>
      </c>
      <c r="E2287" s="224" t="s">
        <v>4677</v>
      </c>
      <c r="F2287" s="224"/>
      <c r="G2287" s="224"/>
      <c r="H2287" s="224"/>
      <c r="I2287" s="224" t="s">
        <v>46</v>
      </c>
      <c r="J2287" s="224"/>
    </row>
    <row r="2288" spans="1:10" s="230" customFormat="1" x14ac:dyDescent="0.25">
      <c r="A2288" s="224">
        <v>299350000</v>
      </c>
      <c r="B2288" s="229" t="s">
        <v>4678</v>
      </c>
      <c r="C2288" s="224">
        <v>170</v>
      </c>
      <c r="D2288" s="224">
        <v>17602</v>
      </c>
      <c r="E2288" s="224">
        <v>10.199999999999999</v>
      </c>
      <c r="F2288" s="224"/>
      <c r="G2288" s="224"/>
      <c r="H2288" s="224"/>
      <c r="I2288" s="224" t="s">
        <v>1895</v>
      </c>
      <c r="J2288" s="224"/>
    </row>
    <row r="2289" spans="1:10" s="230" customFormat="1" x14ac:dyDescent="0.25">
      <c r="A2289" s="224">
        <v>525801120</v>
      </c>
      <c r="B2289" s="229" t="s">
        <v>4679</v>
      </c>
      <c r="C2289" s="224" t="s">
        <v>3548</v>
      </c>
      <c r="D2289" s="224" t="s">
        <v>3549</v>
      </c>
      <c r="E2289" s="224" t="s">
        <v>2364</v>
      </c>
      <c r="F2289" s="224"/>
      <c r="G2289" s="224"/>
      <c r="H2289" s="224"/>
      <c r="I2289" s="224" t="s">
        <v>92</v>
      </c>
      <c r="J2289" s="224"/>
    </row>
    <row r="2290" spans="1:10" s="230" customFormat="1" x14ac:dyDescent="0.25">
      <c r="A2290" s="224">
        <v>525024290</v>
      </c>
      <c r="B2290" s="229" t="s">
        <v>4680</v>
      </c>
      <c r="C2290" s="224">
        <v>58.8</v>
      </c>
      <c r="D2290" s="224">
        <v>719</v>
      </c>
      <c r="E2290" s="224">
        <v>3.2</v>
      </c>
      <c r="F2290" s="224"/>
      <c r="G2290" s="224"/>
      <c r="H2290" s="224" t="s">
        <v>4681</v>
      </c>
      <c r="I2290" s="224" t="s">
        <v>1870</v>
      </c>
      <c r="J2290" s="224"/>
    </row>
    <row r="2291" spans="1:10" s="230" customFormat="1" x14ac:dyDescent="0.25">
      <c r="A2291" s="224">
        <v>525015442</v>
      </c>
      <c r="B2291" s="229" t="s">
        <v>4682</v>
      </c>
      <c r="C2291" s="224">
        <v>36</v>
      </c>
      <c r="D2291" s="224">
        <v>206</v>
      </c>
      <c r="E2291" s="224">
        <v>3.5</v>
      </c>
      <c r="F2291" s="224"/>
      <c r="G2291" s="224"/>
      <c r="H2291" s="224"/>
      <c r="I2291" s="224" t="s">
        <v>150</v>
      </c>
      <c r="J2291" s="224"/>
    </row>
    <row r="2292" spans="1:10" s="230" customFormat="1" x14ac:dyDescent="0.25">
      <c r="A2292" s="224">
        <v>357231000</v>
      </c>
      <c r="B2292" s="229" t="s">
        <v>3034</v>
      </c>
      <c r="C2292" s="224">
        <v>234.6</v>
      </c>
      <c r="D2292" s="224">
        <v>34610</v>
      </c>
      <c r="E2292" s="224">
        <v>11.1</v>
      </c>
      <c r="F2292" s="224"/>
      <c r="G2292" s="224"/>
      <c r="H2292" s="224"/>
      <c r="I2292" s="224" t="s">
        <v>71</v>
      </c>
      <c r="J2292" s="224"/>
    </row>
    <row r="2293" spans="1:10" s="230" customFormat="1" x14ac:dyDescent="0.25">
      <c r="A2293" s="224">
        <v>525701659</v>
      </c>
      <c r="B2293" s="229" t="s">
        <v>4683</v>
      </c>
      <c r="C2293" s="224">
        <v>79</v>
      </c>
      <c r="D2293" s="224">
        <v>1988</v>
      </c>
      <c r="E2293" s="224">
        <v>4.5999999999999996</v>
      </c>
      <c r="F2293" s="224"/>
      <c r="G2293" s="224"/>
      <c r="H2293" s="224"/>
      <c r="I2293" s="224" t="s">
        <v>2398</v>
      </c>
      <c r="J2293" s="224"/>
    </row>
    <row r="2294" spans="1:10" s="230" customFormat="1" x14ac:dyDescent="0.25">
      <c r="A2294" s="224">
        <v>356777000</v>
      </c>
      <c r="B2294" s="229" t="s">
        <v>4684</v>
      </c>
      <c r="C2294" s="224">
        <v>199.9</v>
      </c>
      <c r="D2294" s="224">
        <v>34794</v>
      </c>
      <c r="E2294" s="224">
        <v>6.56</v>
      </c>
      <c r="F2294" s="224"/>
      <c r="G2294" s="224"/>
      <c r="H2294" s="224"/>
      <c r="I2294" s="224"/>
      <c r="J2294" s="224"/>
    </row>
    <row r="2295" spans="1:10" s="230" customFormat="1" x14ac:dyDescent="0.25">
      <c r="A2295" s="224">
        <v>563013500</v>
      </c>
      <c r="B2295" s="229" t="s">
        <v>3037</v>
      </c>
      <c r="C2295" s="224">
        <v>189.89</v>
      </c>
      <c r="D2295" s="224">
        <v>32505</v>
      </c>
      <c r="E2295" s="224">
        <v>7.2</v>
      </c>
      <c r="F2295" s="224"/>
      <c r="G2295" s="224"/>
      <c r="H2295" s="224"/>
      <c r="I2295" s="224" t="s">
        <v>273</v>
      </c>
      <c r="J2295" s="224"/>
    </row>
    <row r="2296" spans="1:10" s="230" customFormat="1" x14ac:dyDescent="0.25">
      <c r="A2296" s="224">
        <v>525400826</v>
      </c>
      <c r="B2296" s="229" t="s">
        <v>4685</v>
      </c>
      <c r="C2296" s="224" t="s">
        <v>4686</v>
      </c>
      <c r="D2296" s="224" t="s">
        <v>946</v>
      </c>
      <c r="E2296" s="224" t="s">
        <v>4687</v>
      </c>
      <c r="F2296" s="224"/>
      <c r="G2296" s="224"/>
      <c r="H2296" s="224"/>
      <c r="I2296" s="224" t="s">
        <v>1870</v>
      </c>
      <c r="J2296" s="224"/>
    </row>
    <row r="2297" spans="1:10" s="230" customFormat="1" x14ac:dyDescent="0.25">
      <c r="A2297" s="224">
        <v>525018469</v>
      </c>
      <c r="B2297" s="229" t="s">
        <v>4688</v>
      </c>
      <c r="C2297" s="224" t="s">
        <v>4689</v>
      </c>
      <c r="D2297" s="224" t="s">
        <v>3134</v>
      </c>
      <c r="E2297" s="224" t="s">
        <v>4666</v>
      </c>
      <c r="F2297" s="224"/>
      <c r="G2297" s="224"/>
      <c r="H2297" s="224"/>
      <c r="I2297" s="224" t="s">
        <v>1534</v>
      </c>
      <c r="J2297" s="224"/>
    </row>
    <row r="2298" spans="1:10" s="230" customFormat="1" x14ac:dyDescent="0.25">
      <c r="A2298" s="224">
        <v>525018004</v>
      </c>
      <c r="B2298" s="229" t="s">
        <v>4690</v>
      </c>
      <c r="C2298" s="224">
        <v>114.5</v>
      </c>
      <c r="D2298" s="224">
        <v>7334</v>
      </c>
      <c r="E2298" s="224">
        <v>6.2</v>
      </c>
      <c r="F2298" s="224"/>
      <c r="G2298" s="224"/>
      <c r="H2298" s="224"/>
      <c r="I2298" s="224" t="s">
        <v>71</v>
      </c>
      <c r="J2298" s="224"/>
    </row>
    <row r="2299" spans="1:10" s="230" customFormat="1" x14ac:dyDescent="0.25">
      <c r="A2299" s="224">
        <v>413574720</v>
      </c>
      <c r="B2299" s="229" t="s">
        <v>4691</v>
      </c>
      <c r="C2299" s="224">
        <v>120</v>
      </c>
      <c r="D2299" s="224">
        <v>5614</v>
      </c>
      <c r="E2299" s="224">
        <v>5.2</v>
      </c>
      <c r="F2299" s="224"/>
      <c r="G2299" s="224"/>
      <c r="H2299" s="224"/>
      <c r="I2299" s="224" t="s">
        <v>160</v>
      </c>
      <c r="J2299" s="224"/>
    </row>
    <row r="2300" spans="1:10" s="230" customFormat="1" x14ac:dyDescent="0.25">
      <c r="A2300" s="224">
        <v>525801349</v>
      </c>
      <c r="B2300" s="229" t="s">
        <v>4692</v>
      </c>
      <c r="C2300" s="224" t="s">
        <v>3049</v>
      </c>
      <c r="D2300" s="224" t="s">
        <v>4693</v>
      </c>
      <c r="E2300" s="224" t="s">
        <v>4694</v>
      </c>
      <c r="F2300" s="224"/>
      <c r="G2300" s="224"/>
      <c r="H2300" s="224"/>
      <c r="I2300" s="224" t="s">
        <v>43</v>
      </c>
      <c r="J2300" s="224"/>
    </row>
    <row r="2301" spans="1:10" s="230" customFormat="1" x14ac:dyDescent="0.25">
      <c r="A2301" s="224">
        <v>525023311</v>
      </c>
      <c r="B2301" s="229" t="s">
        <v>4695</v>
      </c>
      <c r="C2301" s="224" t="s">
        <v>4696</v>
      </c>
      <c r="D2301" s="224" t="s">
        <v>4697</v>
      </c>
      <c r="E2301" s="224" t="s">
        <v>4698</v>
      </c>
      <c r="F2301" s="224"/>
      <c r="G2301" s="224"/>
      <c r="H2301" s="224"/>
      <c r="I2301" s="224" t="s">
        <v>46</v>
      </c>
      <c r="J2301" s="224"/>
    </row>
    <row r="2302" spans="1:10" s="230" customFormat="1" x14ac:dyDescent="0.25">
      <c r="A2302" s="224">
        <v>525400431</v>
      </c>
      <c r="B2302" s="229" t="s">
        <v>4699</v>
      </c>
      <c r="C2302" s="224" t="s">
        <v>4700</v>
      </c>
      <c r="D2302" s="224" t="s">
        <v>4701</v>
      </c>
      <c r="E2302" s="224" t="s">
        <v>4702</v>
      </c>
      <c r="F2302" s="224"/>
      <c r="G2302" s="224"/>
      <c r="H2302" s="224"/>
      <c r="I2302" s="224" t="s">
        <v>2398</v>
      </c>
      <c r="J2302" s="224"/>
    </row>
    <row r="2303" spans="1:10" s="230" customFormat="1" x14ac:dyDescent="0.25">
      <c r="A2303" s="224">
        <v>525023054</v>
      </c>
      <c r="B2303" s="229" t="s">
        <v>4703</v>
      </c>
      <c r="C2303" s="224">
        <v>47</v>
      </c>
      <c r="D2303" s="224">
        <v>789</v>
      </c>
      <c r="E2303" s="224">
        <v>2.5</v>
      </c>
      <c r="F2303" s="224"/>
      <c r="G2303" s="224"/>
      <c r="H2303" s="224"/>
      <c r="I2303" s="224" t="s">
        <v>1707</v>
      </c>
      <c r="J2303" s="224"/>
    </row>
    <row r="2304" spans="1:10" s="230" customFormat="1" x14ac:dyDescent="0.25">
      <c r="A2304" s="224">
        <v>525500325</v>
      </c>
      <c r="B2304" s="229" t="s">
        <v>2944</v>
      </c>
      <c r="C2304" s="224">
        <v>76</v>
      </c>
      <c r="D2304" s="224">
        <v>1293</v>
      </c>
      <c r="E2304" s="224">
        <v>3.5</v>
      </c>
      <c r="F2304" s="224"/>
      <c r="G2304" s="224"/>
      <c r="H2304" s="224"/>
      <c r="I2304" s="224" t="s">
        <v>39</v>
      </c>
      <c r="J2304" s="224"/>
    </row>
    <row r="2305" spans="1:10" s="230" customFormat="1" x14ac:dyDescent="0.25">
      <c r="A2305" s="224">
        <v>352003400</v>
      </c>
      <c r="B2305" s="229" t="s">
        <v>4704</v>
      </c>
      <c r="C2305" s="224">
        <v>180</v>
      </c>
      <c r="D2305" s="224">
        <v>21538</v>
      </c>
      <c r="E2305" s="224" t="s">
        <v>889</v>
      </c>
      <c r="F2305" s="224"/>
      <c r="G2305" s="224"/>
      <c r="H2305" s="224"/>
      <c r="I2305" s="224" t="s">
        <v>40</v>
      </c>
      <c r="J2305" s="224"/>
    </row>
    <row r="2306" spans="1:10" s="230" customFormat="1" x14ac:dyDescent="0.25">
      <c r="A2306" s="224">
        <v>563250700</v>
      </c>
      <c r="B2306" s="229" t="s">
        <v>4705</v>
      </c>
      <c r="C2306" s="224">
        <v>229</v>
      </c>
      <c r="D2306" s="224">
        <v>43471</v>
      </c>
      <c r="E2306" s="224">
        <v>12.3</v>
      </c>
      <c r="F2306" s="224"/>
      <c r="G2306" s="224"/>
      <c r="H2306" s="224"/>
      <c r="I2306" s="224" t="s">
        <v>273</v>
      </c>
      <c r="J2306" s="224"/>
    </row>
    <row r="2307" spans="1:10" s="230" customFormat="1" x14ac:dyDescent="0.25">
      <c r="A2307" s="224">
        <v>412084000</v>
      </c>
      <c r="B2307" s="229" t="s">
        <v>4706</v>
      </c>
      <c r="C2307" s="224">
        <v>225</v>
      </c>
      <c r="D2307" s="224">
        <v>40943</v>
      </c>
      <c r="E2307" s="224">
        <v>7.2</v>
      </c>
      <c r="F2307" s="224"/>
      <c r="G2307" s="224"/>
      <c r="H2307" s="224"/>
      <c r="I2307" s="224" t="s">
        <v>1870</v>
      </c>
      <c r="J2307" s="224"/>
    </row>
    <row r="2308" spans="1:10" s="230" customFormat="1" x14ac:dyDescent="0.25">
      <c r="A2308" s="224">
        <v>525301520</v>
      </c>
      <c r="B2308" s="229" t="s">
        <v>3084</v>
      </c>
      <c r="C2308" s="224" t="s">
        <v>4707</v>
      </c>
      <c r="D2308" s="224" t="s">
        <v>3085</v>
      </c>
      <c r="E2308" s="224" t="s">
        <v>4708</v>
      </c>
      <c r="F2308" s="224"/>
      <c r="G2308" s="224"/>
      <c r="H2308" s="224"/>
      <c r="I2308" s="224" t="s">
        <v>71</v>
      </c>
      <c r="J2308" s="224"/>
    </row>
    <row r="2309" spans="1:10" s="230" customFormat="1" x14ac:dyDescent="0.25">
      <c r="A2309" s="224">
        <v>413586730</v>
      </c>
      <c r="B2309" s="229" t="s">
        <v>4709</v>
      </c>
      <c r="C2309" s="224">
        <v>99</v>
      </c>
      <c r="D2309" s="224">
        <v>3480</v>
      </c>
      <c r="E2309" s="224">
        <v>5.6</v>
      </c>
      <c r="F2309" s="224"/>
      <c r="G2309" s="224"/>
      <c r="H2309" s="224"/>
      <c r="I2309" s="224" t="s">
        <v>1976</v>
      </c>
      <c r="J2309" s="224"/>
    </row>
    <row r="2310" spans="1:10" s="230" customFormat="1" x14ac:dyDescent="0.25">
      <c r="A2310" s="224">
        <v>525200976</v>
      </c>
      <c r="B2310" s="229" t="s">
        <v>4710</v>
      </c>
      <c r="C2310" s="224" t="s">
        <v>4711</v>
      </c>
      <c r="D2310" s="224" t="s">
        <v>876</v>
      </c>
      <c r="E2310" s="224" t="s">
        <v>1717</v>
      </c>
      <c r="F2310" s="224"/>
      <c r="G2310" s="224"/>
      <c r="H2310" s="224"/>
      <c r="I2310" s="224" t="s">
        <v>39</v>
      </c>
      <c r="J2310" s="224"/>
    </row>
    <row r="2311" spans="1:10" s="230" customFormat="1" x14ac:dyDescent="0.25">
      <c r="A2311" s="224">
        <v>636022881</v>
      </c>
      <c r="B2311" s="229" t="s">
        <v>3095</v>
      </c>
      <c r="C2311" s="224">
        <v>183.12</v>
      </c>
      <c r="D2311" s="224">
        <v>29295</v>
      </c>
      <c r="E2311" s="224">
        <v>7</v>
      </c>
      <c r="F2311" s="224"/>
      <c r="G2311" s="224"/>
      <c r="H2311" s="224"/>
      <c r="I2311" s="224" t="s">
        <v>4712</v>
      </c>
      <c r="J2311" s="224"/>
    </row>
    <row r="2312" spans="1:10" s="230" customFormat="1" x14ac:dyDescent="0.25">
      <c r="A2312" s="224">
        <v>525801624</v>
      </c>
      <c r="B2312" s="229" t="s">
        <v>4713</v>
      </c>
      <c r="C2312" s="224" t="s">
        <v>4714</v>
      </c>
      <c r="D2312" s="224" t="s">
        <v>4715</v>
      </c>
      <c r="E2312" s="224" t="s">
        <v>243</v>
      </c>
      <c r="F2312" s="224"/>
      <c r="G2312" s="224"/>
      <c r="H2312" s="224"/>
      <c r="I2312" s="224" t="s">
        <v>2002</v>
      </c>
      <c r="J2312" s="224"/>
    </row>
    <row r="2313" spans="1:10" s="230" customFormat="1" x14ac:dyDescent="0.25">
      <c r="A2313" s="224">
        <v>538005869</v>
      </c>
      <c r="B2313" s="229" t="s">
        <v>4716</v>
      </c>
      <c r="C2313" s="224">
        <v>184</v>
      </c>
      <c r="D2313" s="224">
        <v>23702</v>
      </c>
      <c r="E2313" s="224">
        <v>11.3</v>
      </c>
      <c r="F2313" s="224"/>
      <c r="G2313" s="224"/>
      <c r="H2313" s="224"/>
      <c r="I2313" s="224" t="s">
        <v>160</v>
      </c>
      <c r="J2313" s="224"/>
    </row>
    <row r="2314" spans="1:10" s="230" customFormat="1" x14ac:dyDescent="0.25">
      <c r="A2314" s="224">
        <v>525007317</v>
      </c>
      <c r="B2314" s="229" t="s">
        <v>4717</v>
      </c>
      <c r="C2314" s="224" t="s">
        <v>4718</v>
      </c>
      <c r="D2314" s="224" t="s">
        <v>3933</v>
      </c>
      <c r="E2314" s="224" t="s">
        <v>4719</v>
      </c>
      <c r="F2314" s="224"/>
      <c r="G2314" s="224"/>
      <c r="H2314" s="224"/>
      <c r="I2314" s="224" t="s">
        <v>4720</v>
      </c>
      <c r="J2314" s="224"/>
    </row>
    <row r="2315" spans="1:10" s="230" customFormat="1" x14ac:dyDescent="0.25">
      <c r="A2315" s="224">
        <v>525014013</v>
      </c>
      <c r="B2315" s="229" t="s">
        <v>3035</v>
      </c>
      <c r="C2315" s="224">
        <v>98</v>
      </c>
      <c r="D2315" s="224">
        <v>2434</v>
      </c>
      <c r="E2315" s="224" t="s">
        <v>795</v>
      </c>
      <c r="F2315" s="224"/>
      <c r="G2315" s="224"/>
      <c r="H2315" s="224"/>
      <c r="I2315" s="224" t="s">
        <v>1707</v>
      </c>
      <c r="J2315" s="224"/>
    </row>
    <row r="2316" spans="1:10" s="230" customFormat="1" x14ac:dyDescent="0.25">
      <c r="A2316" s="224">
        <v>525004043</v>
      </c>
      <c r="B2316" s="229" t="s">
        <v>3077</v>
      </c>
      <c r="C2316" s="224" t="s">
        <v>3078</v>
      </c>
      <c r="D2316" s="224" t="s">
        <v>3079</v>
      </c>
      <c r="E2316" s="224" t="s">
        <v>3080</v>
      </c>
      <c r="F2316" s="224"/>
      <c r="G2316" s="224"/>
      <c r="H2316" s="224"/>
      <c r="I2316" s="224" t="s">
        <v>2002</v>
      </c>
      <c r="J2316" s="224"/>
    </row>
    <row r="2317" spans="1:10" s="230" customFormat="1" x14ac:dyDescent="0.25">
      <c r="A2317" s="224">
        <v>525501933</v>
      </c>
      <c r="B2317" s="229" t="s">
        <v>3974</v>
      </c>
      <c r="C2317" s="224">
        <v>53</v>
      </c>
      <c r="D2317" s="224">
        <v>450</v>
      </c>
      <c r="E2317" s="224">
        <v>2.8</v>
      </c>
      <c r="F2317" s="224"/>
      <c r="G2317" s="224"/>
      <c r="H2317" s="224"/>
      <c r="I2317" s="224" t="s">
        <v>1432</v>
      </c>
      <c r="J2317" s="224"/>
    </row>
    <row r="2318" spans="1:10" s="230" customFormat="1" x14ac:dyDescent="0.25">
      <c r="A2318" s="224">
        <v>525200214</v>
      </c>
      <c r="B2318" s="229" t="s">
        <v>4721</v>
      </c>
      <c r="C2318" s="224" t="s">
        <v>4722</v>
      </c>
      <c r="D2318" s="224" t="s">
        <v>4723</v>
      </c>
      <c r="E2318" s="224" t="s">
        <v>1975</v>
      </c>
      <c r="F2318" s="224"/>
      <c r="G2318" s="224"/>
      <c r="H2318" s="224"/>
      <c r="I2318" s="224" t="s">
        <v>3026</v>
      </c>
      <c r="J2318" s="224"/>
    </row>
    <row r="2319" spans="1:10" s="230" customFormat="1" x14ac:dyDescent="0.25">
      <c r="A2319" s="224">
        <v>525801881</v>
      </c>
      <c r="B2319" s="229" t="s">
        <v>4724</v>
      </c>
      <c r="C2319" s="224" t="s">
        <v>2151</v>
      </c>
      <c r="D2319" s="224" t="s">
        <v>4725</v>
      </c>
      <c r="E2319" s="224" t="s">
        <v>4347</v>
      </c>
      <c r="F2319" s="224"/>
      <c r="G2319" s="224"/>
      <c r="H2319" s="224"/>
      <c r="I2319" s="224" t="s">
        <v>46</v>
      </c>
      <c r="J2319" s="224"/>
    </row>
    <row r="2320" spans="1:10" s="230" customFormat="1" x14ac:dyDescent="0.25">
      <c r="A2320" s="224">
        <v>413336000</v>
      </c>
      <c r="B2320" s="229" t="s">
        <v>4726</v>
      </c>
      <c r="C2320" s="224">
        <v>190</v>
      </c>
      <c r="D2320" s="224">
        <v>32460</v>
      </c>
      <c r="E2320" s="224">
        <v>6.7</v>
      </c>
      <c r="F2320" s="224"/>
      <c r="G2320" s="224"/>
      <c r="H2320" s="224"/>
      <c r="I2320" s="224" t="s">
        <v>273</v>
      </c>
      <c r="J2320" s="224"/>
    </row>
    <row r="2321" spans="1:10" s="230" customFormat="1" x14ac:dyDescent="0.25">
      <c r="A2321" s="224">
        <v>413610290</v>
      </c>
      <c r="B2321" s="229" t="s">
        <v>4727</v>
      </c>
      <c r="C2321" s="224">
        <v>115</v>
      </c>
      <c r="D2321" s="224">
        <v>6952</v>
      </c>
      <c r="E2321" s="224">
        <v>6.6</v>
      </c>
      <c r="F2321" s="224"/>
      <c r="G2321" s="224"/>
      <c r="H2321" s="224"/>
      <c r="I2321" s="224" t="s">
        <v>1895</v>
      </c>
      <c r="J2321" s="224"/>
    </row>
    <row r="2322" spans="1:10" s="230" customFormat="1" x14ac:dyDescent="0.25">
      <c r="A2322" s="224">
        <v>525005401</v>
      </c>
      <c r="B2322" s="229" t="s">
        <v>4728</v>
      </c>
      <c r="C2322" s="224">
        <v>108</v>
      </c>
      <c r="D2322" s="224">
        <v>3619</v>
      </c>
      <c r="E2322" s="224">
        <v>4.5</v>
      </c>
      <c r="F2322" s="224"/>
      <c r="G2322" s="224"/>
      <c r="H2322" s="224"/>
      <c r="I2322" s="224" t="s">
        <v>2304</v>
      </c>
      <c r="J2322" s="224"/>
    </row>
    <row r="2323" spans="1:10" s="230" customFormat="1" x14ac:dyDescent="0.25">
      <c r="A2323" s="224">
        <v>405000253</v>
      </c>
      <c r="B2323" s="229" t="s">
        <v>4729</v>
      </c>
      <c r="C2323" s="224">
        <v>128</v>
      </c>
      <c r="D2323" s="224">
        <v>8515</v>
      </c>
      <c r="E2323" s="224" t="s">
        <v>1754</v>
      </c>
      <c r="F2323" s="224"/>
      <c r="G2323" s="224"/>
      <c r="H2323" s="224"/>
      <c r="I2323" s="224" t="s">
        <v>1976</v>
      </c>
      <c r="J2323" s="224"/>
    </row>
    <row r="2324" spans="1:10" s="230" customFormat="1" x14ac:dyDescent="0.25">
      <c r="A2324" s="224">
        <v>525700090</v>
      </c>
      <c r="B2324" s="229" t="s">
        <v>4730</v>
      </c>
      <c r="C2324" s="224" t="s">
        <v>665</v>
      </c>
      <c r="D2324" s="224" t="s">
        <v>4731</v>
      </c>
      <c r="E2324" s="224" t="s">
        <v>2294</v>
      </c>
      <c r="F2324" s="224"/>
      <c r="G2324" s="224"/>
      <c r="H2324" s="224"/>
      <c r="I2324" s="224" t="s">
        <v>46</v>
      </c>
      <c r="J2324" s="224"/>
    </row>
    <row r="2325" spans="1:10" s="230" customFormat="1" x14ac:dyDescent="0.25">
      <c r="A2325" s="224">
        <v>255915804</v>
      </c>
      <c r="B2325" s="229" t="s">
        <v>4732</v>
      </c>
      <c r="C2325" s="224">
        <v>190</v>
      </c>
      <c r="D2325" s="224">
        <v>32287</v>
      </c>
      <c r="E2325" s="224">
        <v>6.5</v>
      </c>
      <c r="F2325" s="224"/>
      <c r="G2325" s="224"/>
      <c r="H2325" s="224" t="s">
        <v>4733</v>
      </c>
      <c r="I2325" s="224" t="s">
        <v>248</v>
      </c>
      <c r="J2325" s="224"/>
    </row>
    <row r="2326" spans="1:10" s="230" customFormat="1" x14ac:dyDescent="0.25">
      <c r="A2326" s="224">
        <v>525401487</v>
      </c>
      <c r="B2326" s="229" t="s">
        <v>3043</v>
      </c>
      <c r="C2326" s="224" t="s">
        <v>3041</v>
      </c>
      <c r="D2326" s="224" t="s">
        <v>3042</v>
      </c>
      <c r="E2326" s="224" t="s">
        <v>1060</v>
      </c>
      <c r="F2326" s="224"/>
      <c r="G2326" s="224"/>
      <c r="H2326" s="224"/>
      <c r="I2326" s="224" t="s">
        <v>1707</v>
      </c>
      <c r="J2326" s="224"/>
    </row>
    <row r="2327" spans="1:10" s="230" customFormat="1" x14ac:dyDescent="0.25">
      <c r="A2327" s="224">
        <v>525201298</v>
      </c>
      <c r="B2327" s="229" t="s">
        <v>4734</v>
      </c>
      <c r="C2327" s="224" t="s">
        <v>2770</v>
      </c>
      <c r="D2327" s="224" t="s">
        <v>2771</v>
      </c>
      <c r="E2327" s="224" t="s">
        <v>2772</v>
      </c>
      <c r="F2327" s="224"/>
      <c r="G2327" s="224"/>
      <c r="H2327" s="224"/>
      <c r="I2327" s="224" t="s">
        <v>39</v>
      </c>
      <c r="J2327" s="224"/>
    </row>
    <row r="2328" spans="1:10" s="230" customFormat="1" x14ac:dyDescent="0.25">
      <c r="A2328" s="224">
        <v>304857000</v>
      </c>
      <c r="B2328" s="229" t="s">
        <v>3942</v>
      </c>
      <c r="C2328" s="224">
        <v>171.21</v>
      </c>
      <c r="D2328" s="224">
        <v>22184</v>
      </c>
      <c r="E2328" s="224">
        <v>8.4</v>
      </c>
      <c r="F2328" s="224"/>
      <c r="G2328" s="224"/>
      <c r="H2328" s="224"/>
      <c r="I2328" s="224" t="s">
        <v>160</v>
      </c>
      <c r="J2328" s="224"/>
    </row>
    <row r="2329" spans="1:10" s="230" customFormat="1" x14ac:dyDescent="0.25">
      <c r="A2329" s="224">
        <v>525801790</v>
      </c>
      <c r="B2329" s="229" t="s">
        <v>4735</v>
      </c>
      <c r="C2329" s="224">
        <v>129</v>
      </c>
      <c r="D2329" s="224">
        <v>6398</v>
      </c>
      <c r="E2329" s="224">
        <v>4.9000000000000004</v>
      </c>
      <c r="F2329" s="224"/>
      <c r="G2329" s="224"/>
      <c r="H2329" s="224"/>
      <c r="I2329" s="224" t="s">
        <v>46</v>
      </c>
      <c r="J2329" s="224"/>
    </row>
    <row r="2330" spans="1:10" s="230" customFormat="1" x14ac:dyDescent="0.25">
      <c r="A2330" s="224">
        <v>525024156</v>
      </c>
      <c r="B2330" s="229" t="s">
        <v>4736</v>
      </c>
      <c r="C2330" s="224" t="s">
        <v>4737</v>
      </c>
      <c r="D2330" s="224" t="s">
        <v>4738</v>
      </c>
      <c r="E2330" s="224" t="s">
        <v>1565</v>
      </c>
      <c r="F2330" s="224"/>
      <c r="G2330" s="224"/>
      <c r="H2330" s="224"/>
      <c r="I2330" s="224" t="s">
        <v>2002</v>
      </c>
      <c r="J2330" s="224"/>
    </row>
    <row r="2331" spans="1:10" s="230" customFormat="1" x14ac:dyDescent="0.25">
      <c r="A2331" s="224">
        <v>525100462</v>
      </c>
      <c r="B2331" s="229" t="s">
        <v>4739</v>
      </c>
      <c r="C2331" s="224"/>
      <c r="D2331" s="224"/>
      <c r="E2331" s="224"/>
      <c r="F2331" s="224"/>
      <c r="G2331" s="224"/>
      <c r="H2331" s="224"/>
      <c r="I2331" s="224" t="s">
        <v>353</v>
      </c>
      <c r="J2331" s="224"/>
    </row>
    <row r="2332" spans="1:10" s="230" customFormat="1" x14ac:dyDescent="0.25">
      <c r="A2332" s="224">
        <v>525801720</v>
      </c>
      <c r="B2332" s="229" t="s">
        <v>3919</v>
      </c>
      <c r="C2332" s="224" t="s">
        <v>1164</v>
      </c>
      <c r="D2332" s="224" t="s">
        <v>3253</v>
      </c>
      <c r="E2332" s="224" t="s">
        <v>3920</v>
      </c>
      <c r="F2332" s="224"/>
      <c r="G2332" s="224"/>
      <c r="H2332" s="224"/>
      <c r="I2332" s="224" t="s">
        <v>3038</v>
      </c>
      <c r="J2332" s="224"/>
    </row>
    <row r="2333" spans="1:10" s="230" customFormat="1" x14ac:dyDescent="0.25">
      <c r="A2333" s="224">
        <v>525500261</v>
      </c>
      <c r="B2333" s="229" t="s">
        <v>3126</v>
      </c>
      <c r="C2333" s="224" t="s">
        <v>375</v>
      </c>
      <c r="D2333" s="224" t="s">
        <v>3127</v>
      </c>
      <c r="E2333" s="224" t="s">
        <v>4740</v>
      </c>
      <c r="F2333" s="224"/>
      <c r="G2333" s="224"/>
      <c r="H2333" s="224"/>
      <c r="I2333" s="224" t="s">
        <v>3038</v>
      </c>
      <c r="J2333" s="224"/>
    </row>
    <row r="2334" spans="1:10" s="230" customFormat="1" x14ac:dyDescent="0.25">
      <c r="A2334" s="224">
        <v>241237000</v>
      </c>
      <c r="B2334" s="229" t="s">
        <v>4741</v>
      </c>
      <c r="C2334" s="224">
        <v>299.89999999999998</v>
      </c>
      <c r="D2334" s="224">
        <v>106823</v>
      </c>
      <c r="E2334" s="224">
        <v>12.09</v>
      </c>
      <c r="F2334" s="224"/>
      <c r="G2334" s="224"/>
      <c r="H2334" s="224"/>
      <c r="I2334" s="224" t="s">
        <v>273</v>
      </c>
      <c r="J2334" s="224"/>
    </row>
    <row r="2335" spans="1:10" s="230" customFormat="1" x14ac:dyDescent="0.25">
      <c r="A2335" s="224">
        <v>525701713</v>
      </c>
      <c r="B2335" s="229" t="s">
        <v>4742</v>
      </c>
      <c r="C2335" s="224" t="s">
        <v>4743</v>
      </c>
      <c r="D2335" s="224" t="s">
        <v>3445</v>
      </c>
      <c r="E2335" s="224" t="s">
        <v>1807</v>
      </c>
      <c r="F2335" s="224"/>
      <c r="G2335" s="224"/>
      <c r="H2335" s="224"/>
      <c r="I2335" s="224" t="s">
        <v>1870</v>
      </c>
      <c r="J2335" s="224"/>
    </row>
    <row r="2336" spans="1:10" s="230" customFormat="1" x14ac:dyDescent="0.25">
      <c r="A2336" s="224">
        <v>525701926</v>
      </c>
      <c r="B2336" s="229" t="s">
        <v>4744</v>
      </c>
      <c r="C2336" s="224" t="s">
        <v>4745</v>
      </c>
      <c r="D2336" s="224" t="s">
        <v>2995</v>
      </c>
      <c r="E2336" s="224" t="s">
        <v>1503</v>
      </c>
      <c r="F2336" s="224"/>
      <c r="G2336" s="224"/>
      <c r="H2336" s="224"/>
      <c r="I2336" s="224" t="s">
        <v>4746</v>
      </c>
      <c r="J2336" s="224"/>
    </row>
    <row r="2337" spans="1:10" s="230" customFormat="1" x14ac:dyDescent="0.25">
      <c r="A2337" s="224">
        <v>636015667</v>
      </c>
      <c r="B2337" s="229" t="s">
        <v>3205</v>
      </c>
      <c r="C2337" s="224">
        <v>228</v>
      </c>
      <c r="D2337" s="224">
        <v>41300</v>
      </c>
      <c r="E2337" s="224" t="s">
        <v>3206</v>
      </c>
      <c r="F2337" s="224"/>
      <c r="G2337" s="224"/>
      <c r="H2337" s="224"/>
      <c r="I2337" s="224" t="s">
        <v>3193</v>
      </c>
      <c r="J2337" s="224"/>
    </row>
    <row r="2338" spans="1:10" s="230" customFormat="1" x14ac:dyDescent="0.25">
      <c r="A2338" s="224">
        <v>525023378</v>
      </c>
      <c r="B2338" s="229" t="s">
        <v>4747</v>
      </c>
      <c r="C2338" s="224" t="s">
        <v>4748</v>
      </c>
      <c r="D2338" s="224" t="s">
        <v>4749</v>
      </c>
      <c r="E2338" s="224" t="s">
        <v>4687</v>
      </c>
      <c r="F2338" s="224"/>
      <c r="G2338" s="224"/>
      <c r="H2338" s="224"/>
      <c r="I2338" s="224" t="s">
        <v>46</v>
      </c>
      <c r="J2338" s="224"/>
    </row>
    <row r="2339" spans="1:10" s="230" customFormat="1" x14ac:dyDescent="0.25">
      <c r="A2339" s="224">
        <v>538009861</v>
      </c>
      <c r="B2339" s="229" t="s">
        <v>4750</v>
      </c>
      <c r="C2339" s="224">
        <v>182.9</v>
      </c>
      <c r="D2339" s="224">
        <v>24472</v>
      </c>
      <c r="E2339" s="224">
        <v>7</v>
      </c>
      <c r="F2339" s="224"/>
      <c r="G2339" s="224"/>
      <c r="H2339" s="224"/>
      <c r="I2339" s="224" t="s">
        <v>71</v>
      </c>
      <c r="J2339" s="224"/>
    </row>
    <row r="2340" spans="1:10" s="230" customFormat="1" x14ac:dyDescent="0.25">
      <c r="A2340" s="224">
        <v>525004025</v>
      </c>
      <c r="B2340" s="229" t="s">
        <v>4751</v>
      </c>
      <c r="C2340" s="224" t="s">
        <v>4752</v>
      </c>
      <c r="D2340" s="224" t="s">
        <v>4753</v>
      </c>
      <c r="E2340" s="224" t="s">
        <v>243</v>
      </c>
      <c r="F2340" s="224"/>
      <c r="G2340" s="224"/>
      <c r="H2340" s="224"/>
      <c r="I2340" s="224" t="s">
        <v>1432</v>
      </c>
      <c r="J2340" s="224"/>
    </row>
    <row r="2341" spans="1:10" s="230" customFormat="1" x14ac:dyDescent="0.25">
      <c r="A2341" s="224">
        <v>525200408</v>
      </c>
      <c r="B2341" s="229" t="s">
        <v>4754</v>
      </c>
      <c r="C2341" s="224" t="s">
        <v>3997</v>
      </c>
      <c r="D2341" s="224" t="s">
        <v>3733</v>
      </c>
      <c r="E2341" s="224" t="s">
        <v>711</v>
      </c>
      <c r="F2341" s="224"/>
      <c r="G2341" s="224"/>
      <c r="H2341" s="224"/>
      <c r="I2341" s="224" t="s">
        <v>1870</v>
      </c>
      <c r="J2341" s="224"/>
    </row>
    <row r="2342" spans="1:10" s="230" customFormat="1" x14ac:dyDescent="0.25">
      <c r="A2342" s="224">
        <v>525201449</v>
      </c>
      <c r="B2342" s="229" t="s">
        <v>4755</v>
      </c>
      <c r="C2342" s="224" t="s">
        <v>2151</v>
      </c>
      <c r="D2342" s="224" t="s">
        <v>3319</v>
      </c>
      <c r="E2342" s="224" t="s">
        <v>1388</v>
      </c>
      <c r="F2342" s="224"/>
      <c r="G2342" s="224"/>
      <c r="H2342" s="224"/>
      <c r="I2342" s="224" t="s">
        <v>3038</v>
      </c>
      <c r="J2342" s="224"/>
    </row>
    <row r="2343" spans="1:10" s="230" customFormat="1" x14ac:dyDescent="0.25">
      <c r="A2343" s="224">
        <v>352002490</v>
      </c>
      <c r="B2343" s="229" t="s">
        <v>4756</v>
      </c>
      <c r="C2343" s="224">
        <v>120</v>
      </c>
      <c r="D2343" s="224">
        <v>9942</v>
      </c>
      <c r="E2343" s="224">
        <v>5.6</v>
      </c>
      <c r="F2343" s="224"/>
      <c r="G2343" s="224"/>
      <c r="H2343" s="224"/>
      <c r="I2343" s="224" t="s">
        <v>262</v>
      </c>
      <c r="J2343" s="224"/>
    </row>
    <row r="2344" spans="1:10" s="230" customFormat="1" x14ac:dyDescent="0.25">
      <c r="A2344" s="224">
        <v>525701888</v>
      </c>
      <c r="B2344" s="229" t="s">
        <v>4757</v>
      </c>
      <c r="C2344" s="224" t="s">
        <v>4311</v>
      </c>
      <c r="D2344" s="224" t="s">
        <v>4312</v>
      </c>
      <c r="E2344" s="224" t="s">
        <v>4758</v>
      </c>
      <c r="F2344" s="224"/>
      <c r="G2344" s="224"/>
      <c r="H2344" s="224"/>
      <c r="I2344" s="224" t="s">
        <v>92</v>
      </c>
      <c r="J2344" s="224"/>
    </row>
    <row r="2345" spans="1:10" s="230" customFormat="1" x14ac:dyDescent="0.25">
      <c r="A2345" s="224">
        <v>525025081</v>
      </c>
      <c r="B2345" s="229" t="s">
        <v>4759</v>
      </c>
      <c r="C2345" s="224" t="s">
        <v>4760</v>
      </c>
      <c r="D2345" s="224" t="s">
        <v>4761</v>
      </c>
      <c r="E2345" s="224" t="s">
        <v>4762</v>
      </c>
      <c r="F2345" s="224"/>
      <c r="G2345" s="224"/>
      <c r="H2345" s="224"/>
      <c r="I2345" s="224" t="s">
        <v>46</v>
      </c>
      <c r="J2345" s="224"/>
    </row>
    <row r="2346" spans="1:10" s="230" customFormat="1" x14ac:dyDescent="0.25">
      <c r="A2346" s="224">
        <v>636022818</v>
      </c>
      <c r="B2346" s="229" t="s">
        <v>3229</v>
      </c>
      <c r="C2346" s="224">
        <v>210</v>
      </c>
      <c r="D2346" s="224">
        <v>53015</v>
      </c>
      <c r="E2346" s="224" t="s">
        <v>56</v>
      </c>
      <c r="F2346" s="224"/>
      <c r="G2346" s="224"/>
      <c r="H2346" s="224"/>
      <c r="I2346" s="224" t="s">
        <v>45</v>
      </c>
      <c r="J2346" s="224"/>
    </row>
    <row r="2347" spans="1:10" s="230" customFormat="1" x14ac:dyDescent="0.25">
      <c r="A2347" s="224">
        <v>525801409</v>
      </c>
      <c r="B2347" s="229" t="s">
        <v>4763</v>
      </c>
      <c r="C2347" s="224" t="s">
        <v>4764</v>
      </c>
      <c r="D2347" s="224" t="s">
        <v>4765</v>
      </c>
      <c r="E2347" s="224" t="s">
        <v>4766</v>
      </c>
      <c r="F2347" s="224"/>
      <c r="G2347" s="224"/>
      <c r="H2347" s="224"/>
      <c r="I2347" s="224" t="s">
        <v>3038</v>
      </c>
      <c r="J2347" s="224"/>
    </row>
    <row r="2348" spans="1:10" s="230" customFormat="1" x14ac:dyDescent="0.25">
      <c r="A2348" s="224">
        <v>351949000</v>
      </c>
      <c r="B2348" s="229" t="s">
        <v>4767</v>
      </c>
      <c r="C2348" s="224">
        <v>190</v>
      </c>
      <c r="D2348" s="224">
        <v>31260</v>
      </c>
      <c r="E2348" s="224">
        <v>6.2</v>
      </c>
      <c r="F2348" s="224"/>
      <c r="G2348" s="224"/>
      <c r="H2348" s="224"/>
      <c r="I2348" s="224" t="s">
        <v>262</v>
      </c>
      <c r="J2348" s="224"/>
    </row>
    <row r="2349" spans="1:10" s="230" customFormat="1" x14ac:dyDescent="0.25">
      <c r="A2349" s="224">
        <v>525801538</v>
      </c>
      <c r="B2349" s="229" t="s">
        <v>4768</v>
      </c>
      <c r="C2349" s="224" t="s">
        <v>4769</v>
      </c>
      <c r="D2349" s="224" t="s">
        <v>4019</v>
      </c>
      <c r="E2349" s="224" t="s">
        <v>497</v>
      </c>
      <c r="F2349" s="224"/>
      <c r="G2349" s="224"/>
      <c r="H2349" s="224"/>
      <c r="I2349" s="224" t="s">
        <v>39</v>
      </c>
      <c r="J2349" s="224"/>
    </row>
    <row r="2350" spans="1:10" s="230" customFormat="1" x14ac:dyDescent="0.25">
      <c r="A2350" s="224">
        <v>538006545</v>
      </c>
      <c r="B2350" s="229" t="s">
        <v>4770</v>
      </c>
      <c r="C2350" s="224">
        <v>184</v>
      </c>
      <c r="D2350" s="224">
        <v>23861</v>
      </c>
      <c r="E2350" s="224">
        <v>6.6</v>
      </c>
      <c r="F2350" s="224"/>
      <c r="G2350" s="224"/>
      <c r="H2350" s="224"/>
      <c r="I2350" s="224" t="s">
        <v>160</v>
      </c>
      <c r="J2350" s="224"/>
    </row>
    <row r="2351" spans="1:10" s="230" customFormat="1" x14ac:dyDescent="0.25">
      <c r="A2351" s="224">
        <v>525005026</v>
      </c>
      <c r="B2351" s="229" t="s">
        <v>4771</v>
      </c>
      <c r="C2351" s="224" t="s">
        <v>4772</v>
      </c>
      <c r="D2351" s="224" t="s">
        <v>4773</v>
      </c>
      <c r="E2351" s="224" t="s">
        <v>1900</v>
      </c>
      <c r="F2351" s="224"/>
      <c r="G2351" s="224"/>
      <c r="H2351" s="224"/>
      <c r="I2351" s="224" t="s">
        <v>46</v>
      </c>
      <c r="J2351" s="224"/>
    </row>
    <row r="2352" spans="1:10" s="230" customFormat="1" x14ac:dyDescent="0.25">
      <c r="A2352" s="224">
        <v>636024445</v>
      </c>
      <c r="B2352" s="229" t="s">
        <v>3980</v>
      </c>
      <c r="C2352" s="224">
        <v>228.9</v>
      </c>
      <c r="D2352" s="224">
        <v>45335</v>
      </c>
      <c r="E2352" s="224">
        <v>7.47</v>
      </c>
      <c r="F2352" s="224"/>
      <c r="G2352" s="224"/>
      <c r="H2352" s="224"/>
      <c r="I2352" s="224" t="s">
        <v>248</v>
      </c>
      <c r="J2352" s="224"/>
    </row>
    <row r="2353" spans="1:10" s="230" customFormat="1" x14ac:dyDescent="0.25">
      <c r="A2353" s="224">
        <v>525023349</v>
      </c>
      <c r="B2353" s="229" t="s">
        <v>3013</v>
      </c>
      <c r="C2353" s="224" t="s">
        <v>2658</v>
      </c>
      <c r="D2353" s="224" t="s">
        <v>1665</v>
      </c>
      <c r="E2353" s="224" t="s">
        <v>4774</v>
      </c>
      <c r="F2353" s="224"/>
      <c r="G2353" s="224"/>
      <c r="H2353" s="224"/>
      <c r="I2353" s="224" t="s">
        <v>46</v>
      </c>
      <c r="J2353" s="224"/>
    </row>
    <row r="2354" spans="1:10" s="230" customFormat="1" x14ac:dyDescent="0.25">
      <c r="A2354" s="224">
        <v>525201010</v>
      </c>
      <c r="B2354" s="229" t="s">
        <v>4775</v>
      </c>
      <c r="C2354" s="224" t="s">
        <v>4776</v>
      </c>
      <c r="D2354" s="224" t="s">
        <v>3371</v>
      </c>
      <c r="E2354" s="224" t="s">
        <v>4777</v>
      </c>
      <c r="F2354" s="224"/>
      <c r="G2354" s="224"/>
      <c r="H2354" s="224"/>
      <c r="I2354" s="224" t="s">
        <v>71</v>
      </c>
      <c r="J2354" s="224"/>
    </row>
    <row r="2355" spans="1:10" s="230" customFormat="1" x14ac:dyDescent="0.25">
      <c r="A2355" s="224">
        <v>525003225</v>
      </c>
      <c r="B2355" s="229" t="s">
        <v>3219</v>
      </c>
      <c r="C2355" s="224" t="s">
        <v>3220</v>
      </c>
      <c r="D2355" s="224" t="s">
        <v>3221</v>
      </c>
      <c r="E2355" s="224" t="s">
        <v>489</v>
      </c>
      <c r="F2355" s="224"/>
      <c r="G2355" s="224"/>
      <c r="H2355" s="224"/>
      <c r="I2355" s="224" t="s">
        <v>3038</v>
      </c>
      <c r="J2355" s="224"/>
    </row>
    <row r="2356" spans="1:10" s="230" customFormat="1" x14ac:dyDescent="0.25">
      <c r="A2356" s="224">
        <v>525600220</v>
      </c>
      <c r="B2356" s="229" t="s">
        <v>4778</v>
      </c>
      <c r="C2356" s="224" t="s">
        <v>1981</v>
      </c>
      <c r="D2356" s="224" t="s">
        <v>4779</v>
      </c>
      <c r="E2356" s="224" t="s">
        <v>4780</v>
      </c>
      <c r="F2356" s="224"/>
      <c r="G2356" s="224"/>
      <c r="H2356" s="224"/>
      <c r="I2356" s="224" t="s">
        <v>46</v>
      </c>
      <c r="J2356" s="224"/>
    </row>
    <row r="2357" spans="1:10" s="230" customFormat="1" x14ac:dyDescent="0.25">
      <c r="A2357" s="224">
        <v>525900854</v>
      </c>
      <c r="B2357" s="229" t="s">
        <v>4781</v>
      </c>
      <c r="C2357" s="224" t="s">
        <v>2129</v>
      </c>
      <c r="D2357" s="224" t="s">
        <v>2990</v>
      </c>
      <c r="E2357" s="224" t="s">
        <v>4782</v>
      </c>
      <c r="F2357" s="224"/>
      <c r="G2357" s="224"/>
      <c r="H2357" s="224"/>
      <c r="I2357" s="224" t="s">
        <v>92</v>
      </c>
      <c r="J2357" s="224"/>
    </row>
    <row r="2358" spans="1:10" s="230" customFormat="1" x14ac:dyDescent="0.25">
      <c r="A2358" s="224">
        <v>525500083</v>
      </c>
      <c r="B2358" s="229" t="s">
        <v>4783</v>
      </c>
      <c r="C2358" s="224" t="s">
        <v>4289</v>
      </c>
      <c r="D2358" s="224" t="s">
        <v>4784</v>
      </c>
      <c r="E2358" s="224" t="s">
        <v>1195</v>
      </c>
      <c r="F2358" s="224"/>
      <c r="G2358" s="224"/>
      <c r="H2358" s="224"/>
      <c r="I2358" s="224" t="s">
        <v>262</v>
      </c>
      <c r="J2358" s="224"/>
    </row>
    <row r="2359" spans="1:10" s="230" customFormat="1" x14ac:dyDescent="0.25">
      <c r="A2359" s="224">
        <v>525901082</v>
      </c>
      <c r="B2359" s="229" t="s">
        <v>3950</v>
      </c>
      <c r="C2359" s="224" t="s">
        <v>3951</v>
      </c>
      <c r="D2359" s="224" t="s">
        <v>3952</v>
      </c>
      <c r="E2359" s="224" t="s">
        <v>1396</v>
      </c>
      <c r="F2359" s="224"/>
      <c r="G2359" s="224"/>
      <c r="H2359" s="224"/>
      <c r="I2359" s="224" t="s">
        <v>353</v>
      </c>
      <c r="J2359" s="224"/>
    </row>
    <row r="2360" spans="1:10" s="230" customFormat="1" x14ac:dyDescent="0.25">
      <c r="A2360" s="224">
        <v>525700421</v>
      </c>
      <c r="B2360" s="229" t="s">
        <v>4785</v>
      </c>
      <c r="C2360" s="224">
        <v>40.25</v>
      </c>
      <c r="D2360" s="224">
        <v>232</v>
      </c>
      <c r="E2360" s="224">
        <v>2.5</v>
      </c>
      <c r="F2360" s="224"/>
      <c r="G2360" s="224"/>
      <c r="H2360" s="224"/>
      <c r="I2360" s="224" t="s">
        <v>245</v>
      </c>
      <c r="J2360" s="224"/>
    </row>
    <row r="2361" spans="1:10" s="230" customFormat="1" x14ac:dyDescent="0.25">
      <c r="A2361" s="224">
        <v>525024228</v>
      </c>
      <c r="B2361" s="229" t="s">
        <v>4786</v>
      </c>
      <c r="C2361" s="224">
        <v>79</v>
      </c>
      <c r="D2361" s="224">
        <v>1089</v>
      </c>
      <c r="E2361" s="224">
        <v>4.5999999999999996</v>
      </c>
      <c r="F2361" s="224"/>
      <c r="G2361" s="224"/>
      <c r="H2361" s="224"/>
      <c r="I2361" s="224" t="s">
        <v>2304</v>
      </c>
      <c r="J2361" s="224"/>
    </row>
    <row r="2362" spans="1:10" s="230" customFormat="1" x14ac:dyDescent="0.25">
      <c r="A2362" s="224">
        <v>352005429</v>
      </c>
      <c r="B2362" s="229" t="s">
        <v>4787</v>
      </c>
      <c r="C2362" s="224">
        <v>183</v>
      </c>
      <c r="D2362" s="224">
        <v>30131</v>
      </c>
      <c r="E2362" s="224">
        <v>10.5</v>
      </c>
      <c r="F2362" s="224"/>
      <c r="G2362" s="224"/>
      <c r="H2362" s="224"/>
      <c r="I2362" s="224" t="s">
        <v>160</v>
      </c>
      <c r="J2362" s="224"/>
    </row>
    <row r="2363" spans="1:10" s="230" customFormat="1" x14ac:dyDescent="0.25">
      <c r="A2363" s="224">
        <v>525012247</v>
      </c>
      <c r="B2363" s="229" t="s">
        <v>3967</v>
      </c>
      <c r="C2363" s="224" t="s">
        <v>3968</v>
      </c>
      <c r="D2363" s="224" t="s">
        <v>3969</v>
      </c>
      <c r="E2363" s="224" t="s">
        <v>3970</v>
      </c>
      <c r="F2363" s="224"/>
      <c r="G2363" s="224"/>
      <c r="H2363" s="224"/>
      <c r="I2363" s="224" t="s">
        <v>46</v>
      </c>
      <c r="J2363" s="224"/>
    </row>
    <row r="2364" spans="1:10" s="230" customFormat="1" x14ac:dyDescent="0.25">
      <c r="A2364" s="224">
        <v>525400463</v>
      </c>
      <c r="B2364" s="229" t="s">
        <v>4788</v>
      </c>
      <c r="C2364" s="224" t="s">
        <v>4789</v>
      </c>
      <c r="D2364" s="224" t="s">
        <v>4790</v>
      </c>
      <c r="E2364" s="224" t="s">
        <v>4791</v>
      </c>
      <c r="F2364" s="224"/>
      <c r="G2364" s="224"/>
      <c r="H2364" s="224"/>
      <c r="I2364" s="224" t="s">
        <v>3038</v>
      </c>
      <c r="J2364" s="224"/>
    </row>
    <row r="2365" spans="1:10" s="230" customFormat="1" x14ac:dyDescent="0.25">
      <c r="A2365" s="224">
        <v>525019530</v>
      </c>
      <c r="B2365" s="229" t="s">
        <v>3005</v>
      </c>
      <c r="C2365" s="224">
        <v>73</v>
      </c>
      <c r="D2365" s="224">
        <v>1342</v>
      </c>
      <c r="E2365" s="224">
        <v>3.8</v>
      </c>
      <c r="F2365" s="224"/>
      <c r="G2365" s="224"/>
      <c r="H2365" s="224"/>
      <c r="I2365" s="224" t="s">
        <v>2398</v>
      </c>
      <c r="J2365" s="224"/>
    </row>
    <row r="2366" spans="1:10" s="230" customFormat="1" x14ac:dyDescent="0.25">
      <c r="A2366" s="224">
        <v>636017478</v>
      </c>
      <c r="B2366" s="229" t="s">
        <v>4792</v>
      </c>
      <c r="C2366" s="224">
        <v>229</v>
      </c>
      <c r="D2366" s="224">
        <v>43301</v>
      </c>
      <c r="E2366" s="224">
        <v>7.3</v>
      </c>
      <c r="F2366" s="224"/>
      <c r="G2366" s="224"/>
      <c r="H2366" s="224"/>
      <c r="I2366" s="224" t="s">
        <v>248</v>
      </c>
      <c r="J2366" s="224"/>
    </row>
    <row r="2367" spans="1:10" s="230" customFormat="1" x14ac:dyDescent="0.25">
      <c r="A2367" s="224">
        <v>525101623</v>
      </c>
      <c r="B2367" s="229" t="s">
        <v>4793</v>
      </c>
      <c r="C2367" s="224">
        <v>54</v>
      </c>
      <c r="D2367" s="224">
        <v>493</v>
      </c>
      <c r="E2367" s="224">
        <v>3.5</v>
      </c>
      <c r="F2367" s="224"/>
      <c r="G2367" s="224"/>
      <c r="H2367" s="224"/>
      <c r="I2367" s="224" t="s">
        <v>1584</v>
      </c>
      <c r="J2367" s="224"/>
    </row>
    <row r="2368" spans="1:10" s="230" customFormat="1" x14ac:dyDescent="0.25">
      <c r="A2368" s="224">
        <v>413375470</v>
      </c>
      <c r="B2368" s="229" t="s">
        <v>4024</v>
      </c>
      <c r="C2368" s="224">
        <v>132</v>
      </c>
      <c r="D2368" s="224">
        <v>7041</v>
      </c>
      <c r="E2368" s="224">
        <v>6</v>
      </c>
      <c r="F2368" s="224"/>
      <c r="G2368" s="224"/>
      <c r="H2368" s="224"/>
      <c r="I2368" s="224" t="s">
        <v>1895</v>
      </c>
      <c r="J2368" s="224"/>
    </row>
    <row r="2369" spans="1:10" s="230" customFormat="1" x14ac:dyDescent="0.25">
      <c r="A2369" s="224">
        <v>352978144</v>
      </c>
      <c r="B2369" s="229" t="s">
        <v>4794</v>
      </c>
      <c r="C2369" s="224">
        <v>119.9</v>
      </c>
      <c r="D2369" s="224">
        <v>9593</v>
      </c>
      <c r="E2369" s="224">
        <v>5.0999999999999996</v>
      </c>
      <c r="F2369" s="224"/>
      <c r="G2369" s="224"/>
      <c r="H2369" s="224"/>
      <c r="I2369" s="224"/>
      <c r="J2369" s="224"/>
    </row>
    <row r="2370" spans="1:10" s="230" customFormat="1" x14ac:dyDescent="0.25">
      <c r="A2370" s="224">
        <v>636013117</v>
      </c>
      <c r="B2370" s="229" t="s">
        <v>3299</v>
      </c>
      <c r="C2370" s="224">
        <v>133.4</v>
      </c>
      <c r="D2370" s="224">
        <v>27916</v>
      </c>
      <c r="E2370" s="224">
        <v>7</v>
      </c>
      <c r="F2370" s="224"/>
      <c r="G2370" s="224"/>
      <c r="H2370" s="224"/>
      <c r="I2370" s="224" t="s">
        <v>160</v>
      </c>
      <c r="J2370" s="224"/>
    </row>
    <row r="2371" spans="1:10" s="230" customFormat="1" x14ac:dyDescent="0.25">
      <c r="A2371" s="224">
        <v>525801658</v>
      </c>
      <c r="B2371" s="229" t="s">
        <v>3046</v>
      </c>
      <c r="C2371" s="224" t="s">
        <v>1164</v>
      </c>
      <c r="D2371" s="224" t="s">
        <v>3047</v>
      </c>
      <c r="E2371" s="224" t="s">
        <v>3278</v>
      </c>
      <c r="F2371" s="224"/>
      <c r="G2371" s="224"/>
      <c r="H2371" s="224"/>
      <c r="I2371" s="224" t="s">
        <v>1870</v>
      </c>
      <c r="J2371" s="224"/>
    </row>
    <row r="2372" spans="1:10" s="230" customFormat="1" x14ac:dyDescent="0.25">
      <c r="A2372" s="224">
        <v>372777000</v>
      </c>
      <c r="B2372" s="229" t="s">
        <v>4031</v>
      </c>
      <c r="C2372" s="224">
        <v>183</v>
      </c>
      <c r="D2372" s="224">
        <v>30042</v>
      </c>
      <c r="E2372" s="224">
        <v>9.4</v>
      </c>
      <c r="F2372" s="224"/>
      <c r="G2372" s="224"/>
      <c r="H2372" s="224"/>
      <c r="I2372" s="224" t="s">
        <v>1895</v>
      </c>
      <c r="J2372" s="224"/>
    </row>
    <row r="2373" spans="1:10" s="230" customFormat="1" x14ac:dyDescent="0.25">
      <c r="A2373" s="224">
        <v>525300365</v>
      </c>
      <c r="B2373" s="229" t="s">
        <v>4795</v>
      </c>
      <c r="C2373" s="224" t="s">
        <v>4796</v>
      </c>
      <c r="D2373" s="224" t="s">
        <v>4797</v>
      </c>
      <c r="E2373" s="224" t="s">
        <v>1470</v>
      </c>
      <c r="F2373" s="224"/>
      <c r="G2373" s="224"/>
      <c r="H2373" s="224"/>
      <c r="I2373" s="224" t="s">
        <v>247</v>
      </c>
      <c r="J2373" s="224"/>
    </row>
    <row r="2374" spans="1:10" s="230" customFormat="1" x14ac:dyDescent="0.25">
      <c r="A2374" s="224">
        <v>525003147</v>
      </c>
      <c r="B2374" s="229" t="s">
        <v>3972</v>
      </c>
      <c r="C2374" s="224" t="s">
        <v>3973</v>
      </c>
      <c r="D2374" s="224" t="s">
        <v>3391</v>
      </c>
      <c r="E2374" s="224" t="s">
        <v>2509</v>
      </c>
      <c r="F2374" s="224"/>
      <c r="G2374" s="224"/>
      <c r="H2374" s="224"/>
      <c r="I2374" s="224" t="s">
        <v>249</v>
      </c>
      <c r="J2374" s="224"/>
    </row>
    <row r="2375" spans="1:10" s="230" customFormat="1" x14ac:dyDescent="0.25">
      <c r="A2375" s="224">
        <v>525115062</v>
      </c>
      <c r="B2375" s="229" t="s">
        <v>3324</v>
      </c>
      <c r="C2375" s="224" t="s">
        <v>3325</v>
      </c>
      <c r="D2375" s="224">
        <v>381</v>
      </c>
      <c r="E2375" s="224" t="s">
        <v>3326</v>
      </c>
      <c r="F2375" s="224"/>
      <c r="G2375" s="224"/>
      <c r="H2375" s="224"/>
      <c r="I2375" s="224" t="s">
        <v>2096</v>
      </c>
      <c r="J2375" s="224"/>
    </row>
    <row r="2376" spans="1:10" s="230" customFormat="1" x14ac:dyDescent="0.25">
      <c r="A2376" s="224">
        <v>525300441</v>
      </c>
      <c r="B2376" s="229" t="s">
        <v>4798</v>
      </c>
      <c r="C2376" s="224" t="s">
        <v>4799</v>
      </c>
      <c r="D2376" s="224" t="s">
        <v>4800</v>
      </c>
      <c r="E2376" s="224" t="s">
        <v>855</v>
      </c>
      <c r="F2376" s="224"/>
      <c r="G2376" s="224"/>
      <c r="H2376" s="224"/>
      <c r="I2376" s="224" t="s">
        <v>45</v>
      </c>
      <c r="J2376" s="224"/>
    </row>
    <row r="2377" spans="1:10" s="230" customFormat="1" x14ac:dyDescent="0.25">
      <c r="A2377" s="224">
        <v>256035000</v>
      </c>
      <c r="B2377" s="229" t="s">
        <v>4801</v>
      </c>
      <c r="C2377" s="224">
        <v>200</v>
      </c>
      <c r="D2377" s="224">
        <v>34628</v>
      </c>
      <c r="E2377" s="224">
        <v>6.6</v>
      </c>
      <c r="F2377" s="224"/>
      <c r="G2377" s="224"/>
      <c r="H2377" s="224"/>
      <c r="I2377" s="224" t="s">
        <v>262</v>
      </c>
      <c r="J2377" s="224"/>
    </row>
    <row r="2378" spans="1:10" s="230" customFormat="1" x14ac:dyDescent="0.25">
      <c r="A2378" s="224">
        <v>413472650</v>
      </c>
      <c r="B2378" s="229" t="s">
        <v>4802</v>
      </c>
      <c r="C2378" s="224">
        <v>112</v>
      </c>
      <c r="D2378" s="224">
        <v>4522</v>
      </c>
      <c r="E2378" s="224">
        <v>7.3</v>
      </c>
      <c r="F2378" s="224"/>
      <c r="G2378" s="224"/>
      <c r="H2378" s="224"/>
      <c r="I2378" s="224" t="s">
        <v>160</v>
      </c>
      <c r="J2378" s="224"/>
    </row>
    <row r="2379" spans="1:10" s="230" customFormat="1" x14ac:dyDescent="0.25">
      <c r="A2379" s="224">
        <v>477410100</v>
      </c>
      <c r="B2379" s="229" t="s">
        <v>3303</v>
      </c>
      <c r="C2379" s="224">
        <v>229</v>
      </c>
      <c r="D2379" s="224">
        <v>43506</v>
      </c>
      <c r="E2379" s="224" t="s">
        <v>4803</v>
      </c>
      <c r="F2379" s="224"/>
      <c r="G2379" s="224"/>
      <c r="H2379" s="224"/>
      <c r="I2379" s="224" t="s">
        <v>516</v>
      </c>
      <c r="J2379" s="224"/>
    </row>
    <row r="2380" spans="1:10" s="230" customFormat="1" x14ac:dyDescent="0.25">
      <c r="A2380" s="224">
        <v>538005321</v>
      </c>
      <c r="B2380" s="229" t="s">
        <v>4804</v>
      </c>
      <c r="C2380" s="224">
        <v>183</v>
      </c>
      <c r="D2380" s="224">
        <v>29905</v>
      </c>
      <c r="E2380" s="224">
        <v>7</v>
      </c>
      <c r="F2380" s="224"/>
      <c r="G2380" s="224"/>
      <c r="H2380" s="224"/>
      <c r="I2380" s="224" t="s">
        <v>160</v>
      </c>
      <c r="J2380" s="224"/>
    </row>
    <row r="2381" spans="1:10" s="230" customFormat="1" x14ac:dyDescent="0.25">
      <c r="A2381" s="224">
        <v>525401580</v>
      </c>
      <c r="B2381" s="229" t="s">
        <v>4805</v>
      </c>
      <c r="C2381" s="224" t="s">
        <v>1164</v>
      </c>
      <c r="D2381" s="224" t="s">
        <v>4806</v>
      </c>
      <c r="E2381" s="224" t="s">
        <v>4807</v>
      </c>
      <c r="F2381" s="224"/>
      <c r="G2381" s="224"/>
      <c r="H2381" s="224" t="s">
        <v>4808</v>
      </c>
      <c r="I2381" s="224" t="s">
        <v>3562</v>
      </c>
      <c r="J2381" s="224"/>
    </row>
    <row r="2382" spans="1:10" s="230" customFormat="1" x14ac:dyDescent="0.25">
      <c r="A2382" s="224">
        <v>514306424</v>
      </c>
      <c r="B2382" s="229" t="s">
        <v>4809</v>
      </c>
      <c r="C2382" s="224">
        <v>93</v>
      </c>
      <c r="D2382" s="224">
        <v>1263</v>
      </c>
      <c r="E2382" s="224">
        <v>4</v>
      </c>
      <c r="F2382" s="224"/>
      <c r="G2382" s="224"/>
      <c r="H2382" s="224"/>
      <c r="I2382" s="224" t="s">
        <v>2398</v>
      </c>
      <c r="J2382" s="224"/>
    </row>
    <row r="2383" spans="1:10" s="230" customFormat="1" x14ac:dyDescent="0.25">
      <c r="A2383" s="224">
        <v>525022279</v>
      </c>
      <c r="B2383" s="229" t="s">
        <v>3241</v>
      </c>
      <c r="C2383" s="224" t="s">
        <v>3054</v>
      </c>
      <c r="D2383" s="224" t="s">
        <v>3055</v>
      </c>
      <c r="E2383" s="224" t="s">
        <v>3056</v>
      </c>
      <c r="F2383" s="224" t="s">
        <v>73</v>
      </c>
      <c r="G2383" s="224"/>
      <c r="H2383" s="224" t="s">
        <v>388</v>
      </c>
      <c r="I2383" s="224" t="s">
        <v>46</v>
      </c>
      <c r="J2383" s="224"/>
    </row>
    <row r="2384" spans="1:10" s="230" customFormat="1" x14ac:dyDescent="0.25">
      <c r="A2384" s="224">
        <v>525018006</v>
      </c>
      <c r="B2384" s="229" t="s">
        <v>3340</v>
      </c>
      <c r="C2384" s="224">
        <v>115</v>
      </c>
      <c r="D2384" s="224">
        <v>7497</v>
      </c>
      <c r="E2384" s="224" t="s">
        <v>984</v>
      </c>
      <c r="F2384" s="224"/>
      <c r="G2384" s="224"/>
      <c r="H2384" s="224"/>
      <c r="I2384" s="224" t="s">
        <v>1584</v>
      </c>
      <c r="J2384" s="224"/>
    </row>
    <row r="2385" spans="1:10" s="230" customFormat="1" x14ac:dyDescent="0.25">
      <c r="A2385" s="224">
        <v>636016212</v>
      </c>
      <c r="B2385" s="229" t="s">
        <v>4810</v>
      </c>
      <c r="C2385" s="224">
        <v>299.7</v>
      </c>
      <c r="D2385" s="224">
        <v>106847</v>
      </c>
      <c r="E2385" s="224">
        <v>10.6</v>
      </c>
      <c r="F2385" s="224"/>
      <c r="G2385" s="224"/>
      <c r="H2385" s="224"/>
      <c r="I2385" s="224" t="s">
        <v>154</v>
      </c>
      <c r="J2385" s="224"/>
    </row>
    <row r="2386" spans="1:10" s="230" customFormat="1" x14ac:dyDescent="0.25">
      <c r="A2386" s="224">
        <v>525500231</v>
      </c>
      <c r="B2386" s="229" t="s">
        <v>4811</v>
      </c>
      <c r="C2386" s="224" t="s">
        <v>4812</v>
      </c>
      <c r="D2386" s="224" t="s">
        <v>4813</v>
      </c>
      <c r="E2386" s="224" t="s">
        <v>4814</v>
      </c>
      <c r="F2386" s="224"/>
      <c r="G2386" s="224"/>
      <c r="H2386" s="224"/>
      <c r="I2386" s="224" t="s">
        <v>153</v>
      </c>
      <c r="J2386" s="224"/>
    </row>
    <row r="2387" spans="1:10" s="230" customFormat="1" x14ac:dyDescent="0.25">
      <c r="A2387" s="224">
        <v>525200022</v>
      </c>
      <c r="B2387" s="229" t="s">
        <v>4815</v>
      </c>
      <c r="C2387" s="224" t="s">
        <v>4816</v>
      </c>
      <c r="D2387" s="224" t="s">
        <v>1044</v>
      </c>
      <c r="E2387" s="224" t="s">
        <v>4128</v>
      </c>
      <c r="F2387" s="224"/>
      <c r="G2387" s="224"/>
      <c r="H2387" s="224"/>
      <c r="I2387" s="224" t="s">
        <v>245</v>
      </c>
      <c r="J2387" s="224"/>
    </row>
    <row r="2388" spans="1:10" s="230" customFormat="1" x14ac:dyDescent="0.25">
      <c r="A2388" s="224">
        <v>525010070</v>
      </c>
      <c r="B2388" s="229" t="s">
        <v>4817</v>
      </c>
      <c r="C2388" s="224">
        <v>89</v>
      </c>
      <c r="D2388" s="224">
        <v>2992</v>
      </c>
      <c r="E2388" s="224">
        <v>4.7</v>
      </c>
      <c r="F2388" s="224"/>
      <c r="G2388" s="224"/>
      <c r="H2388" s="224" t="s">
        <v>4818</v>
      </c>
      <c r="I2388" s="224" t="s">
        <v>1534</v>
      </c>
      <c r="J2388" s="224"/>
    </row>
    <row r="2389" spans="1:10" s="230" customFormat="1" x14ac:dyDescent="0.25">
      <c r="A2389" s="224">
        <v>525200516</v>
      </c>
      <c r="B2389" s="229" t="s">
        <v>3859</v>
      </c>
      <c r="C2389" s="224">
        <v>74</v>
      </c>
      <c r="D2389" s="224">
        <v>1448</v>
      </c>
      <c r="E2389" s="224">
        <v>4.5999999999999996</v>
      </c>
      <c r="F2389" s="224"/>
      <c r="G2389" s="224"/>
      <c r="H2389" s="224"/>
      <c r="I2389" s="224" t="s">
        <v>39</v>
      </c>
      <c r="J2389" s="224"/>
    </row>
    <row r="2390" spans="1:10" s="230" customFormat="1" x14ac:dyDescent="0.25">
      <c r="A2390" s="224">
        <v>525300017</v>
      </c>
      <c r="B2390" s="229" t="s">
        <v>3156</v>
      </c>
      <c r="C2390" s="224" t="s">
        <v>3157</v>
      </c>
      <c r="D2390" s="224" t="s">
        <v>3158</v>
      </c>
      <c r="E2390" s="224" t="s">
        <v>3159</v>
      </c>
      <c r="F2390" s="224"/>
      <c r="G2390" s="224"/>
      <c r="H2390" s="224"/>
      <c r="I2390" s="224" t="s">
        <v>3038</v>
      </c>
      <c r="J2390" s="224"/>
    </row>
    <row r="2391" spans="1:10" s="230" customFormat="1" x14ac:dyDescent="0.25">
      <c r="A2391" s="224">
        <v>525801826</v>
      </c>
      <c r="B2391" s="229" t="s">
        <v>4819</v>
      </c>
      <c r="C2391" s="224" t="s">
        <v>4820</v>
      </c>
      <c r="D2391" s="224" t="s">
        <v>4821</v>
      </c>
      <c r="E2391" s="224" t="s">
        <v>1446</v>
      </c>
      <c r="F2391" s="224"/>
      <c r="G2391" s="224"/>
      <c r="H2391" s="224"/>
      <c r="I2391" s="224" t="s">
        <v>249</v>
      </c>
      <c r="J2391" s="224"/>
    </row>
    <row r="2392" spans="1:10" s="230" customFormat="1" x14ac:dyDescent="0.25">
      <c r="A2392" s="224">
        <v>525801271</v>
      </c>
      <c r="B2392" s="229" t="s">
        <v>4822</v>
      </c>
      <c r="C2392" s="224" t="s">
        <v>4823</v>
      </c>
      <c r="D2392" s="224" t="s">
        <v>3423</v>
      </c>
      <c r="E2392" s="224" t="s">
        <v>4824</v>
      </c>
      <c r="F2392" s="224"/>
      <c r="G2392" s="224"/>
      <c r="H2392" s="224"/>
      <c r="I2392" s="224" t="s">
        <v>2002</v>
      </c>
      <c r="J2392" s="224"/>
    </row>
    <row r="2393" spans="1:10" s="230" customFormat="1" x14ac:dyDescent="0.25">
      <c r="A2393" s="224">
        <v>525018410</v>
      </c>
      <c r="B2393" s="229" t="s">
        <v>4825</v>
      </c>
      <c r="C2393" s="224" t="s">
        <v>4826</v>
      </c>
      <c r="D2393" s="224" t="s">
        <v>4240</v>
      </c>
      <c r="E2393" s="224" t="s">
        <v>4827</v>
      </c>
      <c r="F2393" s="224"/>
      <c r="G2393" s="224"/>
      <c r="H2393" s="224"/>
      <c r="I2393" s="224" t="s">
        <v>41</v>
      </c>
      <c r="J2393" s="224"/>
    </row>
    <row r="2394" spans="1:10" s="230" customFormat="1" x14ac:dyDescent="0.25">
      <c r="A2394" s="224">
        <v>525023370</v>
      </c>
      <c r="B2394" s="229" t="s">
        <v>4828</v>
      </c>
      <c r="C2394" s="224" t="s">
        <v>464</v>
      </c>
      <c r="D2394" s="224" t="s">
        <v>4034</v>
      </c>
      <c r="E2394" s="224" t="s">
        <v>4829</v>
      </c>
      <c r="F2394" s="224"/>
      <c r="G2394" s="224"/>
      <c r="H2394" s="224"/>
      <c r="I2394" s="224" t="s">
        <v>46</v>
      </c>
      <c r="J2394" s="224"/>
    </row>
    <row r="2395" spans="1:10" s="230" customFormat="1" x14ac:dyDescent="0.25">
      <c r="A2395" s="224">
        <v>525010135</v>
      </c>
      <c r="B2395" s="229" t="s">
        <v>4830</v>
      </c>
      <c r="C2395" s="224" t="s">
        <v>4831</v>
      </c>
      <c r="D2395" s="224" t="s">
        <v>4832</v>
      </c>
      <c r="E2395" s="224" t="s">
        <v>4833</v>
      </c>
      <c r="F2395" s="224"/>
      <c r="G2395" s="224"/>
      <c r="H2395" s="224" t="s">
        <v>4834</v>
      </c>
      <c r="I2395" s="224" t="s">
        <v>84</v>
      </c>
      <c r="J2395" s="224"/>
    </row>
    <row r="2396" spans="1:10" s="230" customFormat="1" x14ac:dyDescent="0.25">
      <c r="A2396" s="224">
        <v>525006152</v>
      </c>
      <c r="B2396" s="229" t="s">
        <v>4835</v>
      </c>
      <c r="C2396" s="224" t="s">
        <v>3212</v>
      </c>
      <c r="D2396" s="224" t="s">
        <v>3213</v>
      </c>
      <c r="E2396" s="224" t="s">
        <v>3214</v>
      </c>
      <c r="F2396" s="224"/>
      <c r="G2396" s="224"/>
      <c r="H2396" s="224"/>
      <c r="I2396" s="224" t="s">
        <v>1534</v>
      </c>
      <c r="J2396" s="224"/>
    </row>
    <row r="2397" spans="1:10" s="230" customFormat="1" x14ac:dyDescent="0.25">
      <c r="A2397" s="224">
        <v>636022249</v>
      </c>
      <c r="B2397" s="229" t="s">
        <v>4836</v>
      </c>
      <c r="C2397" s="224">
        <v>229</v>
      </c>
      <c r="D2397" s="224">
        <v>43013</v>
      </c>
      <c r="E2397" s="224">
        <v>8.8000000000000007</v>
      </c>
      <c r="F2397" s="224"/>
      <c r="G2397" s="224"/>
      <c r="H2397" s="224"/>
      <c r="I2397" s="224" t="s">
        <v>273</v>
      </c>
      <c r="J2397" s="224"/>
    </row>
    <row r="2398" spans="1:10" s="230" customFormat="1" x14ac:dyDescent="0.25">
      <c r="A2398" s="224">
        <v>525401639</v>
      </c>
      <c r="B2398" s="229" t="s">
        <v>4837</v>
      </c>
      <c r="C2398" s="224" t="s">
        <v>1286</v>
      </c>
      <c r="D2398" s="224" t="s">
        <v>4838</v>
      </c>
      <c r="E2398" s="224" t="s">
        <v>2152</v>
      </c>
      <c r="F2398" s="224"/>
      <c r="G2398" s="224"/>
      <c r="H2398" s="224"/>
      <c r="I2398" s="224" t="s">
        <v>3038</v>
      </c>
      <c r="J2398" s="224"/>
    </row>
    <row r="2399" spans="1:10" s="230" customFormat="1" x14ac:dyDescent="0.25">
      <c r="A2399" s="224">
        <v>525014065</v>
      </c>
      <c r="B2399" s="229" t="s">
        <v>4839</v>
      </c>
      <c r="C2399" s="224">
        <v>100.1</v>
      </c>
      <c r="D2399" s="224">
        <v>6388</v>
      </c>
      <c r="E2399" s="224">
        <v>8.8000000000000007</v>
      </c>
      <c r="F2399" s="224"/>
      <c r="G2399" s="224"/>
      <c r="H2399" s="224"/>
      <c r="I2399" s="224" t="s">
        <v>39</v>
      </c>
      <c r="J2399" s="224"/>
    </row>
    <row r="2400" spans="1:10" s="230" customFormat="1" x14ac:dyDescent="0.25">
      <c r="A2400" s="224">
        <v>525121030</v>
      </c>
      <c r="B2400" s="229" t="s">
        <v>4840</v>
      </c>
      <c r="C2400" s="224">
        <v>105</v>
      </c>
      <c r="D2400" s="224">
        <v>3901</v>
      </c>
      <c r="E2400" s="224">
        <v>4.2</v>
      </c>
      <c r="F2400" s="224"/>
      <c r="G2400" s="224"/>
      <c r="H2400" s="224"/>
      <c r="I2400" s="224" t="s">
        <v>39</v>
      </c>
      <c r="J2400" s="224"/>
    </row>
    <row r="2401" spans="1:10" s="230" customFormat="1" x14ac:dyDescent="0.25">
      <c r="A2401" s="224">
        <v>525200350</v>
      </c>
      <c r="B2401" s="229" t="s">
        <v>4841</v>
      </c>
      <c r="C2401" s="224" t="s">
        <v>1070</v>
      </c>
      <c r="D2401" s="224" t="s">
        <v>2670</v>
      </c>
      <c r="E2401" s="224" t="s">
        <v>4842</v>
      </c>
      <c r="F2401" s="224"/>
      <c r="G2401" s="224"/>
      <c r="H2401" s="224"/>
      <c r="I2401" s="224" t="s">
        <v>1663</v>
      </c>
      <c r="J2401" s="224"/>
    </row>
    <row r="2402" spans="1:10" s="230" customFormat="1" x14ac:dyDescent="0.25">
      <c r="A2402" s="224">
        <v>525801128</v>
      </c>
      <c r="B2402" s="229" t="s">
        <v>4843</v>
      </c>
      <c r="C2402" s="224" t="s">
        <v>1070</v>
      </c>
      <c r="D2402" s="224" t="s">
        <v>4725</v>
      </c>
      <c r="E2402" s="224" t="s">
        <v>4844</v>
      </c>
      <c r="F2402" s="224"/>
      <c r="G2402" s="224"/>
      <c r="H2402" s="224"/>
      <c r="I2402" s="224" t="s">
        <v>46</v>
      </c>
      <c r="J2402" s="224"/>
    </row>
    <row r="2403" spans="1:10" s="230" customFormat="1" x14ac:dyDescent="0.25">
      <c r="A2403" s="224">
        <v>525020218</v>
      </c>
      <c r="B2403" s="229" t="s">
        <v>3484</v>
      </c>
      <c r="C2403" s="224">
        <v>75</v>
      </c>
      <c r="D2403" s="224">
        <v>1496</v>
      </c>
      <c r="E2403" s="224">
        <v>4.2</v>
      </c>
      <c r="F2403" s="224"/>
      <c r="G2403" s="224"/>
      <c r="H2403" s="224"/>
      <c r="I2403" s="224" t="s">
        <v>1976</v>
      </c>
      <c r="J2403" s="224"/>
    </row>
    <row r="2404" spans="1:10" s="230" customFormat="1" x14ac:dyDescent="0.25">
      <c r="A2404" s="224">
        <v>352003176</v>
      </c>
      <c r="B2404" s="229" t="s">
        <v>4845</v>
      </c>
      <c r="C2404" s="224">
        <v>183</v>
      </c>
      <c r="D2404" s="224">
        <v>29995</v>
      </c>
      <c r="E2404" s="224">
        <v>8.1999999999999993</v>
      </c>
      <c r="F2404" s="224"/>
      <c r="G2404" s="224"/>
      <c r="H2404" s="224"/>
      <c r="I2404" s="224" t="s">
        <v>160</v>
      </c>
      <c r="J2404" s="224"/>
    </row>
    <row r="2405" spans="1:10" s="230" customFormat="1" x14ac:dyDescent="0.25">
      <c r="A2405" s="224">
        <v>525019323</v>
      </c>
      <c r="B2405" s="229" t="s">
        <v>4846</v>
      </c>
      <c r="C2405" s="224">
        <v>88</v>
      </c>
      <c r="D2405" s="224">
        <v>2867</v>
      </c>
      <c r="E2405" s="224">
        <v>4</v>
      </c>
      <c r="F2405" s="224"/>
      <c r="G2405" s="224"/>
      <c r="H2405" s="224"/>
      <c r="I2405" s="224" t="s">
        <v>92</v>
      </c>
      <c r="J2405" s="224"/>
    </row>
    <row r="2406" spans="1:10" s="230" customFormat="1" x14ac:dyDescent="0.25">
      <c r="A2406" s="224">
        <v>305719000</v>
      </c>
      <c r="B2406" s="229" t="s">
        <v>4847</v>
      </c>
      <c r="C2406" s="224">
        <v>154</v>
      </c>
      <c r="D2406" s="224">
        <v>12838</v>
      </c>
      <c r="E2406" s="224">
        <v>6.7</v>
      </c>
      <c r="F2406" s="224"/>
      <c r="G2406" s="224"/>
      <c r="H2406" s="224"/>
      <c r="I2406" s="224" t="s">
        <v>262</v>
      </c>
      <c r="J2406" s="224"/>
    </row>
    <row r="2407" spans="1:10" s="230" customFormat="1" x14ac:dyDescent="0.25">
      <c r="A2407" s="224">
        <v>525003058</v>
      </c>
      <c r="B2407" s="229" t="s">
        <v>4848</v>
      </c>
      <c r="C2407" s="224" t="s">
        <v>4849</v>
      </c>
      <c r="D2407" s="224" t="s">
        <v>4850</v>
      </c>
      <c r="E2407" s="224" t="s">
        <v>2549</v>
      </c>
      <c r="F2407" s="224"/>
      <c r="G2407" s="224"/>
      <c r="H2407" s="224"/>
      <c r="I2407" s="224" t="s">
        <v>1534</v>
      </c>
      <c r="J2407" s="224"/>
    </row>
    <row r="2408" spans="1:10" s="230" customFormat="1" x14ac:dyDescent="0.25">
      <c r="A2408" s="224">
        <v>525200861</v>
      </c>
      <c r="B2408" s="229" t="s">
        <v>4851</v>
      </c>
      <c r="C2408" s="224" t="s">
        <v>615</v>
      </c>
      <c r="D2408" s="224" t="s">
        <v>4852</v>
      </c>
      <c r="E2408" s="224" t="s">
        <v>4853</v>
      </c>
      <c r="F2408" s="224"/>
      <c r="G2408" s="224"/>
      <c r="H2408" s="224"/>
      <c r="I2408" s="224" t="s">
        <v>3038</v>
      </c>
      <c r="J2408" s="224"/>
    </row>
    <row r="2409" spans="1:10" s="230" customFormat="1" x14ac:dyDescent="0.25">
      <c r="A2409" s="224">
        <v>525201723</v>
      </c>
      <c r="B2409" s="229" t="s">
        <v>4854</v>
      </c>
      <c r="C2409" s="224">
        <v>128</v>
      </c>
      <c r="D2409" s="224">
        <v>8561</v>
      </c>
      <c r="E2409" s="224">
        <v>5.4</v>
      </c>
      <c r="F2409" s="224"/>
      <c r="G2409" s="224"/>
      <c r="H2409" s="224"/>
      <c r="I2409" s="224" t="s">
        <v>4855</v>
      </c>
      <c r="J2409" s="224"/>
    </row>
    <row r="2410" spans="1:10" s="230" customFormat="1" x14ac:dyDescent="0.25">
      <c r="A2410" s="224">
        <v>525003387</v>
      </c>
      <c r="B2410" s="229" t="s">
        <v>4856</v>
      </c>
      <c r="C2410" s="224" t="s">
        <v>4857</v>
      </c>
      <c r="D2410" s="224" t="s">
        <v>4858</v>
      </c>
      <c r="E2410" s="224" t="s">
        <v>4859</v>
      </c>
      <c r="F2410" s="224"/>
      <c r="G2410" s="224"/>
      <c r="H2410" s="224"/>
      <c r="I2410" s="224" t="s">
        <v>96</v>
      </c>
      <c r="J2410" s="224"/>
    </row>
    <row r="2411" spans="1:10" s="230" customFormat="1" x14ac:dyDescent="0.25">
      <c r="A2411" s="224">
        <v>354511000</v>
      </c>
      <c r="B2411" s="229" t="s">
        <v>4860</v>
      </c>
      <c r="C2411" s="224">
        <v>141</v>
      </c>
      <c r="D2411" s="224">
        <v>10754</v>
      </c>
      <c r="E2411" s="224">
        <v>5</v>
      </c>
      <c r="F2411" s="224"/>
      <c r="G2411" s="224"/>
      <c r="H2411" s="224"/>
      <c r="I2411" s="224" t="s">
        <v>262</v>
      </c>
      <c r="J2411" s="224"/>
    </row>
    <row r="2412" spans="1:10" s="230" customFormat="1" x14ac:dyDescent="0.25">
      <c r="A2412" s="224">
        <v>525016215</v>
      </c>
      <c r="B2412" s="229" t="s">
        <v>4861</v>
      </c>
      <c r="C2412" s="224" t="s">
        <v>4862</v>
      </c>
      <c r="D2412" s="224" t="s">
        <v>4863</v>
      </c>
      <c r="E2412" s="224" t="s">
        <v>4864</v>
      </c>
      <c r="F2412" s="224"/>
      <c r="G2412" s="224"/>
      <c r="H2412" s="224"/>
      <c r="I2412" s="224" t="s">
        <v>46</v>
      </c>
      <c r="J2412" s="224"/>
    </row>
    <row r="2413" spans="1:10" s="230" customFormat="1" x14ac:dyDescent="0.25">
      <c r="A2413" s="224">
        <v>538004459</v>
      </c>
      <c r="B2413" s="229" t="s">
        <v>4865</v>
      </c>
      <c r="C2413" s="224">
        <v>229</v>
      </c>
      <c r="D2413" s="224">
        <v>44155</v>
      </c>
      <c r="E2413" s="224">
        <v>7.56</v>
      </c>
      <c r="F2413" s="224"/>
      <c r="G2413" s="224"/>
      <c r="H2413" s="224"/>
      <c r="I2413" s="224" t="s">
        <v>516</v>
      </c>
      <c r="J2413" s="224"/>
    </row>
    <row r="2414" spans="1:10" s="230" customFormat="1" x14ac:dyDescent="0.25">
      <c r="A2414" s="224">
        <v>525300284</v>
      </c>
      <c r="B2414" s="229" t="s">
        <v>4866</v>
      </c>
      <c r="C2414" s="224" t="s">
        <v>4867</v>
      </c>
      <c r="D2414" s="224" t="s">
        <v>4011</v>
      </c>
      <c r="E2414" s="224" t="s">
        <v>4012</v>
      </c>
      <c r="F2414" s="224"/>
      <c r="G2414" s="224"/>
      <c r="H2414" s="224"/>
      <c r="I2414" s="224" t="s">
        <v>40</v>
      </c>
      <c r="J2414" s="224"/>
    </row>
    <row r="2415" spans="1:10" s="230" customFormat="1" x14ac:dyDescent="0.25">
      <c r="A2415" s="224">
        <v>477466500</v>
      </c>
      <c r="B2415" s="229" t="s">
        <v>4868</v>
      </c>
      <c r="C2415" s="224">
        <v>224.9</v>
      </c>
      <c r="D2415" s="224">
        <v>41605</v>
      </c>
      <c r="E2415" s="224">
        <v>7.2</v>
      </c>
      <c r="F2415" s="224"/>
      <c r="G2415" s="224"/>
      <c r="H2415" s="224"/>
      <c r="I2415" s="224" t="s">
        <v>154</v>
      </c>
      <c r="J2415" s="224"/>
    </row>
    <row r="2416" spans="1:10" s="230" customFormat="1" x14ac:dyDescent="0.25">
      <c r="A2416" s="224">
        <v>525201067</v>
      </c>
      <c r="B2416" s="229" t="s">
        <v>4073</v>
      </c>
      <c r="C2416" s="224" t="s">
        <v>554</v>
      </c>
      <c r="D2416" s="224" t="s">
        <v>4074</v>
      </c>
      <c r="E2416" s="224" t="s">
        <v>1565</v>
      </c>
      <c r="F2416" s="224"/>
      <c r="G2416" s="224"/>
      <c r="H2416" s="224"/>
      <c r="I2416" s="224" t="s">
        <v>41</v>
      </c>
      <c r="J2416" s="224"/>
    </row>
    <row r="2417" spans="1:10" s="230" customFormat="1" x14ac:dyDescent="0.25">
      <c r="A2417" s="224">
        <v>357417000</v>
      </c>
      <c r="B2417" s="229" t="s">
        <v>4869</v>
      </c>
      <c r="C2417" s="224">
        <v>175</v>
      </c>
      <c r="D2417" s="224">
        <v>19819</v>
      </c>
      <c r="E2417" s="224">
        <v>6</v>
      </c>
      <c r="F2417" s="224"/>
      <c r="G2417" s="224"/>
      <c r="H2417" s="224"/>
      <c r="I2417" s="224" t="s">
        <v>45</v>
      </c>
      <c r="J2417" s="224"/>
    </row>
    <row r="2418" spans="1:10" s="230" customFormat="1" x14ac:dyDescent="0.25">
      <c r="A2418" s="224">
        <v>525801935</v>
      </c>
      <c r="B2418" s="229" t="s">
        <v>4870</v>
      </c>
      <c r="C2418" s="224" t="s">
        <v>2151</v>
      </c>
      <c r="D2418" s="224" t="s">
        <v>3405</v>
      </c>
      <c r="E2418" s="224" t="s">
        <v>4871</v>
      </c>
      <c r="F2418" s="224"/>
      <c r="G2418" s="224"/>
      <c r="H2418" s="224"/>
      <c r="I2418" s="224" t="s">
        <v>1432</v>
      </c>
      <c r="J2418" s="224"/>
    </row>
    <row r="2419" spans="1:10" s="230" customFormat="1" x14ac:dyDescent="0.25">
      <c r="A2419" s="224">
        <v>477936400</v>
      </c>
      <c r="B2419" s="229" t="s">
        <v>4872</v>
      </c>
      <c r="C2419" s="224">
        <v>175</v>
      </c>
      <c r="D2419" s="224">
        <v>19831</v>
      </c>
      <c r="E2419" s="224">
        <v>5.9</v>
      </c>
      <c r="F2419" s="224"/>
      <c r="G2419" s="224"/>
      <c r="H2419" s="224"/>
      <c r="I2419" s="224" t="s">
        <v>71</v>
      </c>
      <c r="J2419" s="224"/>
    </row>
    <row r="2420" spans="1:10" s="230" customFormat="1" x14ac:dyDescent="0.25">
      <c r="A2420" s="224">
        <v>477950900</v>
      </c>
      <c r="B2420" s="229" t="s">
        <v>4873</v>
      </c>
      <c r="C2420" s="224">
        <v>115.7</v>
      </c>
      <c r="D2420" s="224">
        <v>6028</v>
      </c>
      <c r="E2420" s="224">
        <v>5.4</v>
      </c>
      <c r="F2420" s="224"/>
      <c r="G2420" s="224"/>
      <c r="H2420" s="224"/>
      <c r="I2420" s="224" t="s">
        <v>1895</v>
      </c>
      <c r="J2420" s="224"/>
    </row>
    <row r="2421" spans="1:10" s="230" customFormat="1" x14ac:dyDescent="0.25">
      <c r="A2421" s="224">
        <v>622121413</v>
      </c>
      <c r="B2421" s="229" t="s">
        <v>4874</v>
      </c>
      <c r="C2421" s="224">
        <v>190</v>
      </c>
      <c r="D2421" s="224">
        <v>33295</v>
      </c>
      <c r="E2421" s="224">
        <v>6.8</v>
      </c>
      <c r="F2421" s="224"/>
      <c r="G2421" s="224"/>
      <c r="H2421" s="224"/>
      <c r="I2421" s="224" t="s">
        <v>817</v>
      </c>
      <c r="J2421" s="224"/>
    </row>
    <row r="2422" spans="1:10" s="230" customFormat="1" x14ac:dyDescent="0.25">
      <c r="A2422" s="224">
        <v>525100407</v>
      </c>
      <c r="B2422" s="229" t="s">
        <v>4875</v>
      </c>
      <c r="C2422" s="224">
        <v>99</v>
      </c>
      <c r="D2422" s="224">
        <v>7269</v>
      </c>
      <c r="E2422" s="224">
        <v>5.7</v>
      </c>
      <c r="F2422" s="224"/>
      <c r="G2422" s="224"/>
      <c r="H2422" s="224"/>
      <c r="I2422" s="224" t="s">
        <v>4876</v>
      </c>
      <c r="J2422" s="224"/>
    </row>
    <row r="2423" spans="1:10" s="230" customFormat="1" x14ac:dyDescent="0.25">
      <c r="A2423" s="224">
        <v>525024330</v>
      </c>
      <c r="B2423" s="229" t="s">
        <v>4877</v>
      </c>
      <c r="C2423" s="224" t="s">
        <v>4878</v>
      </c>
      <c r="D2423" s="224" t="s">
        <v>4093</v>
      </c>
      <c r="E2423" s="224" t="s">
        <v>4879</v>
      </c>
      <c r="F2423" s="224"/>
      <c r="G2423" s="224"/>
      <c r="H2423" s="224"/>
      <c r="I2423" s="224" t="s">
        <v>1448</v>
      </c>
      <c r="J2423" s="224"/>
    </row>
    <row r="2424" spans="1:10" s="230" customFormat="1" x14ac:dyDescent="0.25">
      <c r="A2424" s="224">
        <v>525901377</v>
      </c>
      <c r="B2424" s="229" t="s">
        <v>4880</v>
      </c>
      <c r="C2424" s="224" t="s">
        <v>4881</v>
      </c>
      <c r="D2424" s="224" t="s">
        <v>4882</v>
      </c>
      <c r="E2424" s="224" t="s">
        <v>4883</v>
      </c>
      <c r="F2424" s="224"/>
      <c r="G2424" s="224"/>
      <c r="H2424" s="224"/>
      <c r="I2424" s="224" t="s">
        <v>245</v>
      </c>
      <c r="J2424" s="224"/>
    </row>
    <row r="2425" spans="1:10" s="230" customFormat="1" x14ac:dyDescent="0.25">
      <c r="A2425" s="224">
        <v>525501516</v>
      </c>
      <c r="B2425" s="229" t="s">
        <v>4076</v>
      </c>
      <c r="C2425" s="224" t="s">
        <v>4077</v>
      </c>
      <c r="D2425" s="224" t="s">
        <v>4078</v>
      </c>
      <c r="E2425" s="224" t="s">
        <v>4079</v>
      </c>
      <c r="F2425" s="224"/>
      <c r="G2425" s="224"/>
      <c r="H2425" s="224"/>
      <c r="I2425" s="224" t="s">
        <v>92</v>
      </c>
      <c r="J2425" s="224"/>
    </row>
    <row r="2426" spans="1:10" s="230" customFormat="1" x14ac:dyDescent="0.25">
      <c r="A2426" s="224">
        <v>538010385</v>
      </c>
      <c r="B2426" s="229" t="s">
        <v>4884</v>
      </c>
      <c r="C2426" s="224">
        <v>229</v>
      </c>
      <c r="D2426" s="224">
        <v>44579</v>
      </c>
      <c r="E2426" s="224">
        <v>9.6</v>
      </c>
      <c r="F2426" s="224"/>
      <c r="G2426" s="224"/>
      <c r="H2426" s="224" t="s">
        <v>367</v>
      </c>
      <c r="I2426" s="224" t="s">
        <v>45</v>
      </c>
      <c r="J2426" s="224"/>
    </row>
    <row r="2427" spans="1:10" s="230" customFormat="1" x14ac:dyDescent="0.25">
      <c r="A2427" s="224">
        <v>525015740</v>
      </c>
      <c r="B2427" s="229" t="s">
        <v>4885</v>
      </c>
      <c r="C2427" s="224" t="s">
        <v>653</v>
      </c>
      <c r="D2427" s="224" t="s">
        <v>4886</v>
      </c>
      <c r="E2427" s="224" t="s">
        <v>2329</v>
      </c>
      <c r="F2427" s="224"/>
      <c r="G2427" s="224"/>
      <c r="H2427" s="224"/>
      <c r="I2427" s="224" t="s">
        <v>46</v>
      </c>
      <c r="J2427" s="224"/>
    </row>
    <row r="2428" spans="1:10" s="230" customFormat="1" x14ac:dyDescent="0.25">
      <c r="A2428" s="224">
        <v>538009953</v>
      </c>
      <c r="B2428" s="229" t="s">
        <v>4887</v>
      </c>
      <c r="C2428" s="224">
        <v>229</v>
      </c>
      <c r="D2428" s="224">
        <v>43066</v>
      </c>
      <c r="E2428" s="224">
        <v>7.3</v>
      </c>
      <c r="F2428" s="224"/>
      <c r="G2428" s="224"/>
      <c r="H2428" s="224"/>
      <c r="I2428" s="224" t="s">
        <v>71</v>
      </c>
      <c r="J2428" s="224"/>
    </row>
    <row r="2429" spans="1:10" s="230" customFormat="1" x14ac:dyDescent="0.25">
      <c r="A2429" s="224">
        <v>367185000</v>
      </c>
      <c r="B2429" s="229" t="s">
        <v>4888</v>
      </c>
      <c r="C2429" s="224">
        <v>199.9</v>
      </c>
      <c r="D2429" s="224">
        <v>59501</v>
      </c>
      <c r="E2429" s="224">
        <v>7.6</v>
      </c>
      <c r="F2429" s="224"/>
      <c r="G2429" s="224"/>
      <c r="H2429" s="224"/>
      <c r="I2429" s="224" t="s">
        <v>262</v>
      </c>
      <c r="J2429" s="224"/>
    </row>
    <row r="2430" spans="1:10" s="230" customFormat="1" x14ac:dyDescent="0.25">
      <c r="A2430" s="224">
        <v>525400583</v>
      </c>
      <c r="B2430" s="229" t="s">
        <v>4889</v>
      </c>
      <c r="C2430" s="224" t="s">
        <v>464</v>
      </c>
      <c r="D2430" s="224" t="s">
        <v>4890</v>
      </c>
      <c r="E2430" s="224" t="s">
        <v>4347</v>
      </c>
      <c r="F2430" s="224"/>
      <c r="G2430" s="224"/>
      <c r="H2430" s="224"/>
      <c r="I2430" s="224" t="s">
        <v>3038</v>
      </c>
      <c r="J2430" s="224"/>
    </row>
    <row r="2431" spans="1:10" s="230" customFormat="1" x14ac:dyDescent="0.25">
      <c r="A2431" s="224">
        <v>525020214</v>
      </c>
      <c r="B2431" s="229" t="s">
        <v>4891</v>
      </c>
      <c r="C2431" s="224" t="s">
        <v>4892</v>
      </c>
      <c r="D2431" s="224" t="s">
        <v>4893</v>
      </c>
      <c r="E2431" s="224" t="s">
        <v>4894</v>
      </c>
      <c r="F2431" s="224"/>
      <c r="G2431" s="224"/>
      <c r="H2431" s="224"/>
      <c r="I2431" s="224" t="s">
        <v>1432</v>
      </c>
      <c r="J2431" s="224"/>
    </row>
    <row r="2432" spans="1:10" s="230" customFormat="1" x14ac:dyDescent="0.25">
      <c r="A2432" s="224">
        <v>525500491</v>
      </c>
      <c r="B2432" s="229" t="s">
        <v>4895</v>
      </c>
      <c r="C2432" s="224" t="s">
        <v>4896</v>
      </c>
      <c r="D2432" s="224" t="s">
        <v>4897</v>
      </c>
      <c r="E2432" s="224" t="s">
        <v>4898</v>
      </c>
      <c r="F2432" s="224"/>
      <c r="G2432" s="224"/>
      <c r="H2432" s="224"/>
      <c r="I2432" s="224" t="s">
        <v>39</v>
      </c>
      <c r="J2432" s="224"/>
    </row>
    <row r="2433" spans="1:10" s="230" customFormat="1" x14ac:dyDescent="0.25">
      <c r="A2433" s="224">
        <v>636015390</v>
      </c>
      <c r="B2433" s="229" t="s">
        <v>4899</v>
      </c>
      <c r="C2433" s="224">
        <v>229</v>
      </c>
      <c r="D2433" s="224">
        <v>51208</v>
      </c>
      <c r="E2433" s="224">
        <v>8.4</v>
      </c>
      <c r="F2433" s="224"/>
      <c r="G2433" s="224"/>
      <c r="H2433" s="224"/>
      <c r="I2433" s="224" t="s">
        <v>1895</v>
      </c>
      <c r="J2433" s="224"/>
    </row>
    <row r="2434" spans="1:10" s="230" customFormat="1" x14ac:dyDescent="0.25">
      <c r="A2434" s="224">
        <v>413367780</v>
      </c>
      <c r="B2434" s="229" t="s">
        <v>4900</v>
      </c>
      <c r="C2434" s="224">
        <v>132</v>
      </c>
      <c r="D2434" s="224">
        <v>7041</v>
      </c>
      <c r="E2434" s="224">
        <v>7.7</v>
      </c>
      <c r="F2434" s="224"/>
      <c r="G2434" s="224"/>
      <c r="H2434" s="224" t="s">
        <v>2693</v>
      </c>
      <c r="I2434" s="224" t="s">
        <v>2096</v>
      </c>
      <c r="J2434" s="224"/>
    </row>
    <row r="2435" spans="1:10" s="230" customFormat="1" x14ac:dyDescent="0.25">
      <c r="A2435" s="224">
        <v>525501349</v>
      </c>
      <c r="B2435" s="229" t="s">
        <v>4901</v>
      </c>
      <c r="C2435" s="224" t="s">
        <v>4902</v>
      </c>
      <c r="D2435" s="224" t="s">
        <v>4903</v>
      </c>
      <c r="E2435" s="224" t="s">
        <v>4574</v>
      </c>
      <c r="F2435" s="224"/>
      <c r="G2435" s="224"/>
      <c r="H2435" s="224"/>
      <c r="I2435" s="224" t="s">
        <v>262</v>
      </c>
      <c r="J2435" s="224"/>
    </row>
    <row r="2436" spans="1:10" s="230" customFormat="1" x14ac:dyDescent="0.25">
      <c r="A2436" s="224">
        <v>525301555</v>
      </c>
      <c r="B2436" s="229" t="s">
        <v>4904</v>
      </c>
      <c r="C2436" s="224" t="s">
        <v>4905</v>
      </c>
      <c r="D2436" s="224" t="s">
        <v>3057</v>
      </c>
      <c r="E2436" s="224" t="s">
        <v>4906</v>
      </c>
      <c r="F2436" s="224"/>
      <c r="G2436" s="224"/>
      <c r="H2436" s="224"/>
      <c r="I2436" s="224" t="s">
        <v>92</v>
      </c>
      <c r="J2436" s="224"/>
    </row>
    <row r="2437" spans="1:10" s="230" customFormat="1" x14ac:dyDescent="0.25">
      <c r="A2437" s="224">
        <v>353757000</v>
      </c>
      <c r="B2437" s="229" t="s">
        <v>3401</v>
      </c>
      <c r="C2437" s="224">
        <v>102</v>
      </c>
      <c r="D2437" s="224">
        <v>4264</v>
      </c>
      <c r="E2437" s="224">
        <v>5</v>
      </c>
      <c r="F2437" s="224"/>
      <c r="G2437" s="224"/>
      <c r="H2437" s="224"/>
      <c r="I2437" s="224" t="s">
        <v>1870</v>
      </c>
      <c r="J2437" s="224"/>
    </row>
    <row r="2438" spans="1:10" s="230" customFormat="1" x14ac:dyDescent="0.25">
      <c r="A2438" s="224">
        <v>525500154</v>
      </c>
      <c r="B2438" s="229" t="s">
        <v>4907</v>
      </c>
      <c r="C2438" s="224" t="s">
        <v>3482</v>
      </c>
      <c r="D2438" s="224" t="s">
        <v>4908</v>
      </c>
      <c r="E2438" s="224" t="s">
        <v>4909</v>
      </c>
      <c r="F2438" s="224"/>
      <c r="G2438" s="224"/>
      <c r="H2438" s="224"/>
      <c r="I2438" s="224" t="s">
        <v>46</v>
      </c>
      <c r="J2438" s="224"/>
    </row>
    <row r="2439" spans="1:10" s="230" customFormat="1" x14ac:dyDescent="0.25">
      <c r="A2439" s="224">
        <v>525901194</v>
      </c>
      <c r="B2439" s="229" t="s">
        <v>3363</v>
      </c>
      <c r="C2439" s="224">
        <v>129</v>
      </c>
      <c r="D2439" s="224">
        <v>6182</v>
      </c>
      <c r="E2439" s="224">
        <v>5.2</v>
      </c>
      <c r="F2439" s="224"/>
      <c r="G2439" s="224"/>
      <c r="H2439" s="224"/>
      <c r="I2439" s="224" t="s">
        <v>46</v>
      </c>
      <c r="J2439" s="224"/>
    </row>
    <row r="2440" spans="1:10" s="230" customFormat="1" x14ac:dyDescent="0.25">
      <c r="A2440" s="224">
        <v>525500771</v>
      </c>
      <c r="B2440" s="229" t="s">
        <v>3416</v>
      </c>
      <c r="C2440" s="224">
        <v>49</v>
      </c>
      <c r="D2440" s="224">
        <v>339</v>
      </c>
      <c r="E2440" s="224">
        <v>2.5</v>
      </c>
      <c r="F2440" s="224"/>
      <c r="G2440" s="224"/>
      <c r="H2440" s="224" t="s">
        <v>4910</v>
      </c>
      <c r="I2440" s="224" t="s">
        <v>3120</v>
      </c>
      <c r="J2440" s="224"/>
    </row>
    <row r="2441" spans="1:10" s="230" customFormat="1" x14ac:dyDescent="0.25">
      <c r="A2441" s="224">
        <v>525801532</v>
      </c>
      <c r="B2441" s="229" t="s">
        <v>4911</v>
      </c>
      <c r="C2441" s="224">
        <v>96</v>
      </c>
      <c r="D2441" s="224">
        <v>3715</v>
      </c>
      <c r="E2441" s="224">
        <v>3.1</v>
      </c>
      <c r="F2441" s="224"/>
      <c r="G2441" s="224"/>
      <c r="H2441" s="224"/>
      <c r="I2441" s="224" t="s">
        <v>92</v>
      </c>
      <c r="J2441" s="224"/>
    </row>
    <row r="2442" spans="1:10" s="230" customFormat="1" x14ac:dyDescent="0.25">
      <c r="A2442" s="224">
        <v>525500379</v>
      </c>
      <c r="B2442" s="229" t="s">
        <v>3257</v>
      </c>
      <c r="C2442" s="224">
        <v>33</v>
      </c>
      <c r="D2442" s="224">
        <v>198</v>
      </c>
      <c r="E2442" s="224">
        <v>2.2999999999999998</v>
      </c>
      <c r="F2442" s="224"/>
      <c r="G2442" s="224"/>
      <c r="H2442" s="224"/>
      <c r="I2442" s="224" t="s">
        <v>1432</v>
      </c>
      <c r="J2442" s="224"/>
    </row>
    <row r="2443" spans="1:10" s="230" customFormat="1" x14ac:dyDescent="0.25">
      <c r="A2443" s="224">
        <v>525010307</v>
      </c>
      <c r="B2443" s="229" t="s">
        <v>4912</v>
      </c>
      <c r="C2443" s="224">
        <v>75</v>
      </c>
      <c r="D2443" s="224">
        <v>1472</v>
      </c>
      <c r="E2443" s="224" t="s">
        <v>112</v>
      </c>
      <c r="F2443" s="224"/>
      <c r="G2443" s="224"/>
      <c r="H2443" s="224"/>
      <c r="I2443" s="224" t="s">
        <v>39</v>
      </c>
      <c r="J2443" s="224"/>
    </row>
    <row r="2444" spans="1:10" s="230" customFormat="1" x14ac:dyDescent="0.25">
      <c r="A2444" s="224">
        <v>525901284</v>
      </c>
      <c r="B2444" s="229" t="s">
        <v>4913</v>
      </c>
      <c r="C2444" s="224" t="s">
        <v>4914</v>
      </c>
      <c r="D2444" s="224" t="s">
        <v>4915</v>
      </c>
      <c r="E2444" s="224" t="s">
        <v>4916</v>
      </c>
      <c r="F2444" s="224"/>
      <c r="G2444" s="224"/>
      <c r="H2444" s="224"/>
      <c r="I2444" s="224" t="s">
        <v>245</v>
      </c>
      <c r="J2444" s="224"/>
    </row>
    <row r="2445" spans="1:10" s="230" customFormat="1" x14ac:dyDescent="0.25">
      <c r="A2445" s="224">
        <v>477559100</v>
      </c>
      <c r="B2445" s="229" t="s">
        <v>4917</v>
      </c>
      <c r="C2445" s="224">
        <v>292</v>
      </c>
      <c r="D2445" s="224">
        <v>91373</v>
      </c>
      <c r="E2445" s="224">
        <v>17.2</v>
      </c>
      <c r="F2445" s="224"/>
      <c r="G2445" s="224"/>
      <c r="H2445" s="224"/>
      <c r="I2445" s="224" t="s">
        <v>154</v>
      </c>
      <c r="J2445" s="224"/>
    </row>
    <row r="2446" spans="1:10" s="230" customFormat="1" x14ac:dyDescent="0.25">
      <c r="A2446" s="224">
        <v>525100141</v>
      </c>
      <c r="B2446" s="229" t="s">
        <v>4918</v>
      </c>
      <c r="C2446" s="224" t="s">
        <v>4201</v>
      </c>
      <c r="D2446" s="224" t="s">
        <v>4919</v>
      </c>
      <c r="E2446" s="224" t="s">
        <v>4920</v>
      </c>
      <c r="F2446" s="224"/>
      <c r="G2446" s="224"/>
      <c r="H2446" s="224"/>
      <c r="I2446" s="224" t="s">
        <v>39</v>
      </c>
      <c r="J2446" s="224"/>
    </row>
    <row r="2447" spans="1:10" s="230" customFormat="1" x14ac:dyDescent="0.25">
      <c r="A2447" s="224">
        <v>525006380</v>
      </c>
      <c r="B2447" s="229" t="s">
        <v>4921</v>
      </c>
      <c r="C2447" s="224" t="s">
        <v>1981</v>
      </c>
      <c r="D2447" s="224" t="s">
        <v>3432</v>
      </c>
      <c r="E2447" s="224" t="s">
        <v>669</v>
      </c>
      <c r="F2447" s="224"/>
      <c r="G2447" s="224"/>
      <c r="H2447" s="224"/>
      <c r="I2447" s="224" t="s">
        <v>1432</v>
      </c>
      <c r="J2447" s="224"/>
    </row>
    <row r="2448" spans="1:10" s="230" customFormat="1" x14ac:dyDescent="0.25">
      <c r="A2448" s="224">
        <v>525300103</v>
      </c>
      <c r="B2448" s="229" t="s">
        <v>4922</v>
      </c>
      <c r="C2448" s="224" t="s">
        <v>4923</v>
      </c>
      <c r="D2448" s="224" t="s">
        <v>4924</v>
      </c>
      <c r="E2448" s="224" t="s">
        <v>4925</v>
      </c>
      <c r="F2448" s="224"/>
      <c r="G2448" s="224"/>
      <c r="H2448" s="224"/>
      <c r="I2448" s="224" t="s">
        <v>1584</v>
      </c>
      <c r="J2448" s="224"/>
    </row>
    <row r="2449" spans="1:10" s="230" customFormat="1" x14ac:dyDescent="0.25">
      <c r="A2449" s="224">
        <v>636024313</v>
      </c>
      <c r="B2449" s="229" t="s">
        <v>4139</v>
      </c>
      <c r="C2449" s="224">
        <v>183</v>
      </c>
      <c r="D2449" s="224">
        <v>29463</v>
      </c>
      <c r="E2449" s="224">
        <v>10</v>
      </c>
      <c r="F2449" s="224"/>
      <c r="G2449" s="224"/>
      <c r="H2449" s="224"/>
      <c r="I2449" s="224" t="s">
        <v>160</v>
      </c>
      <c r="J2449" s="224"/>
    </row>
    <row r="2450" spans="1:10" s="230" customFormat="1" x14ac:dyDescent="0.25">
      <c r="A2450" s="224">
        <v>352002879</v>
      </c>
      <c r="B2450" s="229" t="s">
        <v>4926</v>
      </c>
      <c r="C2450" s="224">
        <v>127</v>
      </c>
      <c r="D2450" s="224">
        <v>9937</v>
      </c>
      <c r="E2450" s="224" t="s">
        <v>131</v>
      </c>
      <c r="F2450" s="224"/>
      <c r="G2450" s="224"/>
      <c r="H2450" s="224"/>
      <c r="I2450" s="224" t="s">
        <v>262</v>
      </c>
      <c r="J2450" s="224"/>
    </row>
    <row r="2451" spans="1:10" s="230" customFormat="1" x14ac:dyDescent="0.25">
      <c r="A2451" s="224">
        <v>257033170</v>
      </c>
      <c r="B2451" s="229" t="s">
        <v>4927</v>
      </c>
      <c r="C2451" s="224">
        <v>183</v>
      </c>
      <c r="D2451" s="224">
        <v>27472</v>
      </c>
      <c r="E2451" s="224">
        <v>12.4</v>
      </c>
      <c r="F2451" s="224"/>
      <c r="G2451" s="224"/>
      <c r="H2451" s="224"/>
      <c r="I2451" s="224" t="s">
        <v>150</v>
      </c>
      <c r="J2451" s="224"/>
    </row>
    <row r="2452" spans="1:10" s="230" customFormat="1" x14ac:dyDescent="0.25">
      <c r="A2452" s="224">
        <v>525100241</v>
      </c>
      <c r="B2452" s="229" t="s">
        <v>4928</v>
      </c>
      <c r="C2452" s="224">
        <v>246</v>
      </c>
      <c r="D2452" s="224">
        <v>58657</v>
      </c>
      <c r="E2452" s="224">
        <v>9.6999999999999993</v>
      </c>
      <c r="F2452" s="224"/>
      <c r="G2452" s="224"/>
      <c r="H2452" s="224"/>
      <c r="I2452" s="224" t="s">
        <v>96</v>
      </c>
      <c r="J2452" s="224"/>
    </row>
    <row r="2453" spans="1:10" s="230" customFormat="1" x14ac:dyDescent="0.25">
      <c r="A2453" s="224">
        <v>525500012</v>
      </c>
      <c r="B2453" s="229" t="s">
        <v>4929</v>
      </c>
      <c r="C2453" s="224" t="s">
        <v>4930</v>
      </c>
      <c r="D2453" s="224" t="s">
        <v>4931</v>
      </c>
      <c r="E2453" s="224" t="s">
        <v>564</v>
      </c>
      <c r="F2453" s="224"/>
      <c r="G2453" s="224"/>
      <c r="H2453" s="224"/>
      <c r="I2453" s="224" t="s">
        <v>39</v>
      </c>
      <c r="J2453" s="224"/>
    </row>
    <row r="2454" spans="1:10" s="230" customFormat="1" x14ac:dyDescent="0.25">
      <c r="A2454" s="224">
        <v>352005115</v>
      </c>
      <c r="B2454" s="229" t="s">
        <v>4932</v>
      </c>
      <c r="C2454" s="224">
        <v>199.9</v>
      </c>
      <c r="D2454" s="224">
        <v>35908</v>
      </c>
      <c r="E2454" s="224">
        <v>12.5</v>
      </c>
      <c r="F2454" s="224"/>
      <c r="G2454" s="224"/>
      <c r="H2454" s="224"/>
      <c r="I2454" s="224" t="s">
        <v>262</v>
      </c>
      <c r="J2454" s="224"/>
    </row>
    <row r="2455" spans="1:10" s="230" customFormat="1" x14ac:dyDescent="0.25">
      <c r="A2455" s="224">
        <v>525801728</v>
      </c>
      <c r="B2455" s="229" t="s">
        <v>4933</v>
      </c>
      <c r="C2455" s="224" t="s">
        <v>920</v>
      </c>
      <c r="D2455" s="224" t="s">
        <v>920</v>
      </c>
      <c r="E2455" s="224" t="s">
        <v>920</v>
      </c>
      <c r="F2455" s="224"/>
      <c r="G2455" s="224"/>
      <c r="H2455" s="224"/>
      <c r="I2455" s="224" t="s">
        <v>39</v>
      </c>
      <c r="J2455" s="224"/>
    </row>
    <row r="2456" spans="1:10" s="230" customFormat="1" x14ac:dyDescent="0.25">
      <c r="A2456" s="224">
        <v>525117031</v>
      </c>
      <c r="B2456" s="229" t="s">
        <v>4934</v>
      </c>
      <c r="C2456" s="224" t="s">
        <v>4935</v>
      </c>
      <c r="D2456" s="224" t="s">
        <v>4936</v>
      </c>
      <c r="E2456" s="224" t="s">
        <v>4937</v>
      </c>
      <c r="F2456" s="224"/>
      <c r="G2456" s="224"/>
      <c r="H2456" s="224"/>
      <c r="I2456" s="224" t="s">
        <v>46</v>
      </c>
      <c r="J2456" s="224"/>
    </row>
    <row r="2457" spans="1:10" s="230" customFormat="1" x14ac:dyDescent="0.25">
      <c r="A2457" s="224">
        <v>319653000</v>
      </c>
      <c r="B2457" s="229" t="s">
        <v>4938</v>
      </c>
      <c r="C2457" s="224">
        <v>189.9</v>
      </c>
      <c r="D2457" s="224">
        <v>32348</v>
      </c>
      <c r="E2457" s="224">
        <v>6.05</v>
      </c>
      <c r="F2457" s="224"/>
      <c r="G2457" s="224"/>
      <c r="H2457" s="224"/>
      <c r="I2457" s="224" t="s">
        <v>154</v>
      </c>
      <c r="J2457" s="224"/>
    </row>
    <row r="2458" spans="1:10" s="230" customFormat="1" x14ac:dyDescent="0.25">
      <c r="A2458" s="224">
        <v>352004015</v>
      </c>
      <c r="B2458" s="229" t="s">
        <v>4939</v>
      </c>
      <c r="C2458" s="224">
        <v>140</v>
      </c>
      <c r="D2458" s="224">
        <v>8673</v>
      </c>
      <c r="E2458" s="224">
        <v>6.8</v>
      </c>
      <c r="F2458" s="224"/>
      <c r="G2458" s="224"/>
      <c r="H2458" s="224"/>
      <c r="I2458" s="224" t="s">
        <v>262</v>
      </c>
      <c r="J2458" s="224"/>
    </row>
    <row r="2459" spans="1:10" s="230" customFormat="1" x14ac:dyDescent="0.25">
      <c r="A2459" s="224">
        <v>312088000</v>
      </c>
      <c r="B2459" s="229" t="s">
        <v>4940</v>
      </c>
      <c r="C2459" s="224">
        <v>180</v>
      </c>
      <c r="D2459" s="224">
        <v>26003</v>
      </c>
      <c r="E2459" s="224">
        <v>9.1999999999999993</v>
      </c>
      <c r="F2459" s="224"/>
      <c r="G2459" s="224"/>
      <c r="H2459" s="224"/>
      <c r="I2459" s="224" t="s">
        <v>273</v>
      </c>
      <c r="J2459" s="224"/>
    </row>
    <row r="2460" spans="1:10" s="230" customFormat="1" x14ac:dyDescent="0.25">
      <c r="A2460" s="224">
        <v>525500512</v>
      </c>
      <c r="B2460" s="229" t="s">
        <v>4941</v>
      </c>
      <c r="C2460" s="224" t="s">
        <v>4186</v>
      </c>
      <c r="D2460" s="224" t="s">
        <v>2092</v>
      </c>
      <c r="E2460" s="224" t="s">
        <v>4942</v>
      </c>
      <c r="F2460" s="224"/>
      <c r="G2460" s="224"/>
      <c r="H2460" s="224"/>
      <c r="I2460" s="224" t="s">
        <v>249</v>
      </c>
      <c r="J2460" s="224"/>
    </row>
    <row r="2461" spans="1:10" s="230" customFormat="1" x14ac:dyDescent="0.25">
      <c r="A2461" s="224">
        <v>525400451</v>
      </c>
      <c r="B2461" s="229" t="s">
        <v>4943</v>
      </c>
      <c r="C2461" s="224" t="s">
        <v>684</v>
      </c>
      <c r="D2461" s="224" t="s">
        <v>4944</v>
      </c>
      <c r="E2461" s="224" t="s">
        <v>4945</v>
      </c>
      <c r="F2461" s="224"/>
      <c r="G2461" s="224"/>
      <c r="H2461" s="224"/>
      <c r="I2461" s="224" t="s">
        <v>245</v>
      </c>
      <c r="J2461" s="224"/>
    </row>
    <row r="2462" spans="1:10" s="230" customFormat="1" x14ac:dyDescent="0.25">
      <c r="A2462" s="224">
        <v>636020198</v>
      </c>
      <c r="B2462" s="229" t="s">
        <v>3648</v>
      </c>
      <c r="C2462" s="224">
        <v>258.89999999999998</v>
      </c>
      <c r="D2462" s="224">
        <v>41322</v>
      </c>
      <c r="E2462" s="224">
        <v>10.4</v>
      </c>
      <c r="F2462" s="224"/>
      <c r="G2462" s="224"/>
      <c r="H2462" s="224"/>
      <c r="I2462" s="224" t="s">
        <v>71</v>
      </c>
      <c r="J2462" s="224"/>
    </row>
    <row r="2463" spans="1:10" s="230" customFormat="1" x14ac:dyDescent="0.25">
      <c r="A2463" s="224">
        <v>525010363</v>
      </c>
      <c r="B2463" s="229" t="s">
        <v>4946</v>
      </c>
      <c r="C2463" s="224">
        <v>50</v>
      </c>
      <c r="D2463" s="224">
        <v>583</v>
      </c>
      <c r="E2463" s="224">
        <v>4.8</v>
      </c>
      <c r="F2463" s="224"/>
      <c r="G2463" s="224"/>
      <c r="H2463" s="224"/>
      <c r="I2463" s="224" t="s">
        <v>2398</v>
      </c>
      <c r="J2463" s="224"/>
    </row>
    <row r="2464" spans="1:10" s="230" customFormat="1" x14ac:dyDescent="0.25">
      <c r="A2464" s="224">
        <v>525016398</v>
      </c>
      <c r="B2464" s="229" t="s">
        <v>4947</v>
      </c>
      <c r="C2464" s="224" t="s">
        <v>4948</v>
      </c>
      <c r="D2464" s="224">
        <v>3147</v>
      </c>
      <c r="E2464" s="224" t="s">
        <v>1105</v>
      </c>
      <c r="F2464" s="224"/>
      <c r="G2464" s="224"/>
      <c r="H2464" s="224"/>
      <c r="I2464" s="224" t="s">
        <v>153</v>
      </c>
      <c r="J2464" s="224"/>
    </row>
    <row r="2465" spans="1:10" s="230" customFormat="1" x14ac:dyDescent="0.25">
      <c r="A2465" s="224">
        <v>525701306</v>
      </c>
      <c r="B2465" s="229" t="s">
        <v>4168</v>
      </c>
      <c r="C2465" s="224">
        <v>45</v>
      </c>
      <c r="D2465" s="224">
        <v>380</v>
      </c>
      <c r="E2465" s="224">
        <v>2.5</v>
      </c>
      <c r="F2465" s="224"/>
      <c r="G2465" s="224"/>
      <c r="H2465" s="224"/>
      <c r="I2465" s="224" t="s">
        <v>245</v>
      </c>
      <c r="J2465" s="224"/>
    </row>
    <row r="2466" spans="1:10" s="230" customFormat="1" x14ac:dyDescent="0.25">
      <c r="A2466" s="224">
        <v>414782000</v>
      </c>
      <c r="B2466" s="229" t="s">
        <v>4167</v>
      </c>
      <c r="C2466" s="224">
        <v>189</v>
      </c>
      <c r="D2466" s="224">
        <v>28780</v>
      </c>
      <c r="E2466" s="224">
        <v>11.4</v>
      </c>
      <c r="F2466" s="224"/>
      <c r="G2466" s="224"/>
      <c r="H2466" s="224"/>
      <c r="I2466" s="224" t="s">
        <v>154</v>
      </c>
      <c r="J2466" s="224"/>
    </row>
    <row r="2467" spans="1:10" s="230" customFormat="1" x14ac:dyDescent="0.25">
      <c r="A2467" s="224">
        <v>352004025</v>
      </c>
      <c r="B2467" s="229" t="s">
        <v>4949</v>
      </c>
      <c r="C2467" s="224">
        <v>182</v>
      </c>
      <c r="D2467" s="224">
        <v>30006</v>
      </c>
      <c r="E2467" s="224">
        <v>10</v>
      </c>
      <c r="F2467" s="224"/>
      <c r="G2467" s="224"/>
      <c r="H2467" s="224"/>
      <c r="I2467" s="224" t="s">
        <v>160</v>
      </c>
      <c r="J2467" s="224"/>
    </row>
    <row r="2468" spans="1:10" s="230" customFormat="1" x14ac:dyDescent="0.25">
      <c r="A2468" s="224">
        <v>525201456</v>
      </c>
      <c r="B2468" s="229" t="s">
        <v>3392</v>
      </c>
      <c r="C2468" s="224" t="s">
        <v>3393</v>
      </c>
      <c r="D2468" s="224">
        <v>2995</v>
      </c>
      <c r="E2468" s="224" t="s">
        <v>726</v>
      </c>
      <c r="F2468" s="224"/>
      <c r="G2468" s="224"/>
      <c r="H2468" s="224"/>
      <c r="I2468" s="224" t="s">
        <v>2398</v>
      </c>
      <c r="J2468" s="224"/>
    </row>
    <row r="2469" spans="1:10" s="230" customFormat="1" x14ac:dyDescent="0.25">
      <c r="A2469" s="224">
        <v>636021070</v>
      </c>
      <c r="B2469" s="229" t="s">
        <v>4950</v>
      </c>
      <c r="C2469" s="224">
        <v>199.9</v>
      </c>
      <c r="D2469" s="224">
        <v>36002</v>
      </c>
      <c r="E2469" s="224">
        <v>7.31</v>
      </c>
      <c r="F2469" s="224"/>
      <c r="G2469" s="224"/>
      <c r="H2469" s="224"/>
      <c r="I2469" s="224" t="s">
        <v>920</v>
      </c>
      <c r="J2469" s="224"/>
    </row>
    <row r="2470" spans="1:10" s="230" customFormat="1" x14ac:dyDescent="0.25">
      <c r="A2470" s="224">
        <v>677089400</v>
      </c>
      <c r="B2470" s="229" t="s">
        <v>4951</v>
      </c>
      <c r="C2470" s="224">
        <v>134</v>
      </c>
      <c r="D2470" s="224">
        <v>8243</v>
      </c>
      <c r="E2470" s="224">
        <v>5.2</v>
      </c>
      <c r="F2470" s="224"/>
      <c r="G2470" s="224"/>
      <c r="H2470" s="224"/>
      <c r="I2470" s="224" t="s">
        <v>516</v>
      </c>
      <c r="J2470" s="224"/>
    </row>
    <row r="2471" spans="1:10" s="230" customFormat="1" x14ac:dyDescent="0.25">
      <c r="A2471" s="224">
        <v>533132758</v>
      </c>
      <c r="B2471" s="229" t="s">
        <v>4952</v>
      </c>
      <c r="C2471" s="224" t="s">
        <v>4201</v>
      </c>
      <c r="D2471" s="224" t="s">
        <v>4953</v>
      </c>
      <c r="E2471" s="224" t="s">
        <v>4954</v>
      </c>
      <c r="F2471" s="224"/>
      <c r="G2471" s="224"/>
      <c r="H2471" s="224"/>
      <c r="I2471" s="224" t="s">
        <v>3562</v>
      </c>
      <c r="J2471" s="224"/>
    </row>
    <row r="2472" spans="1:10" s="230" customFormat="1" x14ac:dyDescent="0.25">
      <c r="A2472" s="224">
        <v>525300259</v>
      </c>
      <c r="B2472" s="229" t="s">
        <v>4955</v>
      </c>
      <c r="C2472" s="224" t="s">
        <v>3313</v>
      </c>
      <c r="D2472" s="224" t="s">
        <v>3314</v>
      </c>
      <c r="E2472" s="224" t="s">
        <v>1365</v>
      </c>
      <c r="F2472" s="224"/>
      <c r="G2472" s="224"/>
      <c r="H2472" s="224"/>
      <c r="I2472" s="224" t="s">
        <v>46</v>
      </c>
      <c r="J2472" s="224"/>
    </row>
    <row r="2473" spans="1:10" s="230" customFormat="1" x14ac:dyDescent="0.25">
      <c r="A2473" s="224">
        <v>352005642</v>
      </c>
      <c r="B2473" s="229" t="s">
        <v>4956</v>
      </c>
      <c r="C2473" s="224">
        <v>183</v>
      </c>
      <c r="D2473" s="224">
        <v>29777</v>
      </c>
      <c r="E2473" s="224">
        <v>11.7</v>
      </c>
      <c r="F2473" s="224"/>
      <c r="G2473" s="224"/>
      <c r="H2473" s="224"/>
      <c r="I2473" s="224" t="s">
        <v>160</v>
      </c>
      <c r="J2473" s="224"/>
    </row>
    <row r="2474" spans="1:10" s="230" customFormat="1" x14ac:dyDescent="0.25">
      <c r="A2474" s="224">
        <v>525100156</v>
      </c>
      <c r="B2474" s="229" t="s">
        <v>4160</v>
      </c>
      <c r="C2474" s="224" t="s">
        <v>4161</v>
      </c>
      <c r="D2474" s="224" t="s">
        <v>4162</v>
      </c>
      <c r="E2474" s="224" t="s">
        <v>4163</v>
      </c>
      <c r="F2474" s="224"/>
      <c r="G2474" s="224"/>
      <c r="H2474" s="224"/>
      <c r="I2474" s="224" t="s">
        <v>39</v>
      </c>
      <c r="J2474" s="224"/>
    </row>
    <row r="2475" spans="1:10" s="230" customFormat="1" x14ac:dyDescent="0.25">
      <c r="A2475" s="224">
        <v>255806449</v>
      </c>
      <c r="B2475" s="229" t="s">
        <v>3682</v>
      </c>
      <c r="C2475" s="224">
        <v>261</v>
      </c>
      <c r="D2475" s="224">
        <v>40807</v>
      </c>
      <c r="E2475" s="224">
        <v>11.1</v>
      </c>
      <c r="F2475" s="224"/>
      <c r="G2475" s="224"/>
      <c r="H2475" s="224"/>
      <c r="I2475" s="224" t="s">
        <v>71</v>
      </c>
      <c r="J2475" s="224"/>
    </row>
    <row r="2476" spans="1:10" s="230" customFormat="1" x14ac:dyDescent="0.25">
      <c r="A2476" s="224">
        <v>525012101</v>
      </c>
      <c r="B2476" s="229" t="s">
        <v>4957</v>
      </c>
      <c r="C2476" s="224">
        <v>98</v>
      </c>
      <c r="D2476" s="224">
        <v>3257</v>
      </c>
      <c r="E2476" s="224">
        <v>5</v>
      </c>
      <c r="F2476" s="224"/>
      <c r="G2476" s="224"/>
      <c r="H2476" s="224"/>
      <c r="I2476" s="224" t="s">
        <v>920</v>
      </c>
      <c r="J2476" s="224"/>
    </row>
    <row r="2477" spans="1:10" s="230" customFormat="1" x14ac:dyDescent="0.25">
      <c r="A2477" s="224">
        <v>525401025</v>
      </c>
      <c r="B2477" s="229" t="s">
        <v>4958</v>
      </c>
      <c r="C2477" s="224" t="s">
        <v>4959</v>
      </c>
      <c r="D2477" s="224" t="s">
        <v>4960</v>
      </c>
      <c r="E2477" s="224" t="s">
        <v>4961</v>
      </c>
      <c r="F2477" s="224"/>
      <c r="G2477" s="224"/>
      <c r="H2477" s="224"/>
      <c r="I2477" s="224" t="s">
        <v>39</v>
      </c>
      <c r="J2477" s="224"/>
    </row>
    <row r="2478" spans="1:10" s="230" customFormat="1" x14ac:dyDescent="0.25">
      <c r="A2478" s="224">
        <v>303945000</v>
      </c>
      <c r="B2478" s="229" t="s">
        <v>4962</v>
      </c>
      <c r="C2478" s="224">
        <v>228.5</v>
      </c>
      <c r="D2478" s="224">
        <v>39889</v>
      </c>
      <c r="E2478" s="224">
        <v>7.1</v>
      </c>
      <c r="F2478" s="224"/>
      <c r="G2478" s="224"/>
      <c r="H2478" s="224"/>
      <c r="I2478" s="224" t="s">
        <v>71</v>
      </c>
      <c r="J2478" s="224"/>
    </row>
    <row r="2479" spans="1:10" s="230" customFormat="1" x14ac:dyDescent="0.25">
      <c r="A2479" s="224">
        <v>525003351</v>
      </c>
      <c r="B2479" s="229" t="s">
        <v>3474</v>
      </c>
      <c r="C2479" s="224" t="s">
        <v>3475</v>
      </c>
      <c r="D2479" s="224" t="s">
        <v>3476</v>
      </c>
      <c r="E2479" s="224" t="s">
        <v>2596</v>
      </c>
      <c r="F2479" s="224"/>
      <c r="G2479" s="224"/>
      <c r="H2479" s="224"/>
      <c r="I2479" s="224" t="s">
        <v>1870</v>
      </c>
      <c r="J2479" s="224"/>
    </row>
    <row r="2480" spans="1:10" s="230" customFormat="1" x14ac:dyDescent="0.25">
      <c r="A2480" s="224">
        <v>354897000</v>
      </c>
      <c r="B2480" s="229" t="s">
        <v>3512</v>
      </c>
      <c r="C2480" s="224" t="s">
        <v>1645</v>
      </c>
      <c r="D2480" s="224">
        <v>30046</v>
      </c>
      <c r="E2480" s="224" t="s">
        <v>1016</v>
      </c>
      <c r="F2480" s="224"/>
      <c r="G2480" s="224"/>
      <c r="H2480" s="224"/>
      <c r="I2480" s="224" t="s">
        <v>1553</v>
      </c>
      <c r="J2480" s="224"/>
    </row>
    <row r="2481" spans="1:10" s="230" customFormat="1" x14ac:dyDescent="0.25">
      <c r="A2481" s="224">
        <v>525500009</v>
      </c>
      <c r="B2481" s="229" t="s">
        <v>4963</v>
      </c>
      <c r="C2481" s="224" t="s">
        <v>4964</v>
      </c>
      <c r="D2481" s="224" t="s">
        <v>3310</v>
      </c>
      <c r="E2481" s="224" t="s">
        <v>4052</v>
      </c>
      <c r="F2481" s="224"/>
      <c r="G2481" s="224"/>
      <c r="H2481" s="224"/>
      <c r="I2481" s="224" t="s">
        <v>39</v>
      </c>
      <c r="J2481" s="224"/>
    </row>
    <row r="2482" spans="1:10" s="230" customFormat="1" x14ac:dyDescent="0.25">
      <c r="A2482" s="224">
        <v>525701284</v>
      </c>
      <c r="B2482" s="229" t="s">
        <v>4125</v>
      </c>
      <c r="C2482" s="224">
        <v>102</v>
      </c>
      <c r="D2482" s="224">
        <v>4073</v>
      </c>
      <c r="E2482" s="224">
        <v>7</v>
      </c>
      <c r="F2482" s="224"/>
      <c r="G2482" s="224"/>
      <c r="H2482" s="224"/>
      <c r="I2482" s="224" t="s">
        <v>42</v>
      </c>
      <c r="J2482" s="224"/>
    </row>
    <row r="2483" spans="1:10" s="230" customFormat="1" x14ac:dyDescent="0.25">
      <c r="A2483" s="224">
        <v>563015100</v>
      </c>
      <c r="B2483" s="229" t="s">
        <v>4965</v>
      </c>
      <c r="C2483" s="224">
        <v>183</v>
      </c>
      <c r="D2483" s="224">
        <v>29266</v>
      </c>
      <c r="E2483" s="224">
        <v>8</v>
      </c>
      <c r="F2483" s="224"/>
      <c r="G2483" s="224"/>
      <c r="H2483" s="224"/>
      <c r="I2483" s="224" t="s">
        <v>160</v>
      </c>
      <c r="J2483" s="224"/>
    </row>
    <row r="2484" spans="1:10" s="230" customFormat="1" x14ac:dyDescent="0.25">
      <c r="A2484" s="224">
        <v>548753000</v>
      </c>
      <c r="B2484" s="229" t="s">
        <v>3525</v>
      </c>
      <c r="C2484" s="224">
        <v>120</v>
      </c>
      <c r="D2484" s="224">
        <v>9943</v>
      </c>
      <c r="E2484" s="224" t="s">
        <v>902</v>
      </c>
      <c r="F2484" s="224"/>
      <c r="G2484" s="224"/>
      <c r="H2484" s="224"/>
      <c r="I2484" s="224" t="s">
        <v>262</v>
      </c>
      <c r="J2484" s="224"/>
    </row>
    <row r="2485" spans="1:10" s="230" customFormat="1" x14ac:dyDescent="0.25">
      <c r="A2485" s="224">
        <v>636023478</v>
      </c>
      <c r="B2485" s="229" t="s">
        <v>4966</v>
      </c>
      <c r="C2485" s="224">
        <v>229</v>
      </c>
      <c r="D2485" s="224">
        <v>43796</v>
      </c>
      <c r="E2485" s="224">
        <v>13</v>
      </c>
      <c r="F2485" s="224"/>
      <c r="G2485" s="224"/>
      <c r="H2485" s="224"/>
      <c r="I2485" s="224" t="s">
        <v>248</v>
      </c>
      <c r="J2485" s="224"/>
    </row>
    <row r="2486" spans="1:10" s="230" customFormat="1" x14ac:dyDescent="0.25">
      <c r="A2486" s="224">
        <v>636023130</v>
      </c>
      <c r="B2486" s="229" t="s">
        <v>4967</v>
      </c>
      <c r="C2486" s="224">
        <v>291.60000000000002</v>
      </c>
      <c r="D2486" s="224">
        <v>93972</v>
      </c>
      <c r="E2486" s="224">
        <v>10.9</v>
      </c>
      <c r="F2486" s="224"/>
      <c r="G2486" s="224"/>
      <c r="H2486" s="224"/>
      <c r="I2486" s="224" t="s">
        <v>154</v>
      </c>
      <c r="J2486" s="224"/>
    </row>
    <row r="2487" spans="1:10" s="230" customFormat="1" x14ac:dyDescent="0.25">
      <c r="A2487" s="224">
        <v>268248001</v>
      </c>
      <c r="B2487" s="229" t="s">
        <v>3534</v>
      </c>
      <c r="C2487" s="224">
        <v>176.9</v>
      </c>
      <c r="D2487" s="224">
        <v>19796</v>
      </c>
      <c r="E2487" s="224">
        <v>10</v>
      </c>
      <c r="F2487" s="224"/>
      <c r="G2487" s="224"/>
      <c r="H2487" s="224"/>
      <c r="I2487" s="224" t="s">
        <v>1895</v>
      </c>
      <c r="J2487" s="224"/>
    </row>
    <row r="2488" spans="1:10" s="230" customFormat="1" x14ac:dyDescent="0.25">
      <c r="A2488" s="224">
        <v>525200040</v>
      </c>
      <c r="B2488" s="229" t="s">
        <v>4968</v>
      </c>
      <c r="C2488" s="224" t="s">
        <v>2628</v>
      </c>
      <c r="D2488" s="224" t="s">
        <v>1212</v>
      </c>
      <c r="E2488" s="224" t="s">
        <v>2029</v>
      </c>
      <c r="F2488" s="224"/>
      <c r="G2488" s="224"/>
      <c r="H2488" s="224"/>
      <c r="I2488" s="224" t="s">
        <v>39</v>
      </c>
      <c r="J2488" s="224"/>
    </row>
    <row r="2489" spans="1:10" s="230" customFormat="1" x14ac:dyDescent="0.25">
      <c r="A2489" s="224">
        <v>525701809</v>
      </c>
      <c r="B2489" s="229" t="s">
        <v>4969</v>
      </c>
      <c r="C2489" s="224">
        <v>97</v>
      </c>
      <c r="D2489" s="224"/>
      <c r="E2489" s="224">
        <v>2.6</v>
      </c>
      <c r="F2489" s="224"/>
      <c r="G2489" s="224"/>
      <c r="H2489" s="224"/>
      <c r="I2489" s="224" t="s">
        <v>1584</v>
      </c>
      <c r="J2489" s="224"/>
    </row>
    <row r="2490" spans="1:10" s="230" customFormat="1" x14ac:dyDescent="0.25">
      <c r="A2490" s="224">
        <v>525600524</v>
      </c>
      <c r="B2490" s="229" t="s">
        <v>4970</v>
      </c>
      <c r="C2490" s="224">
        <v>72.52</v>
      </c>
      <c r="D2490" s="224">
        <v>1730</v>
      </c>
      <c r="E2490" s="224">
        <v>2.5</v>
      </c>
      <c r="F2490" s="224"/>
      <c r="G2490" s="224"/>
      <c r="H2490" s="224" t="s">
        <v>4971</v>
      </c>
      <c r="I2490" s="224" t="s">
        <v>1707</v>
      </c>
      <c r="J2490" s="224"/>
    </row>
    <row r="2491" spans="1:10" s="230" customFormat="1" x14ac:dyDescent="0.25">
      <c r="A2491" s="224">
        <v>477732300</v>
      </c>
      <c r="B2491" s="229" t="s">
        <v>4972</v>
      </c>
      <c r="C2491" s="224">
        <v>190</v>
      </c>
      <c r="D2491" s="224">
        <v>23950</v>
      </c>
      <c r="E2491" s="224">
        <v>6.7</v>
      </c>
      <c r="F2491" s="224"/>
      <c r="G2491" s="224"/>
      <c r="H2491" s="224"/>
      <c r="I2491" s="224" t="s">
        <v>4973</v>
      </c>
      <c r="J2491" s="224"/>
    </row>
    <row r="2492" spans="1:10" s="230" customFormat="1" x14ac:dyDescent="0.25">
      <c r="A2492" s="224">
        <v>525016695</v>
      </c>
      <c r="B2492" s="229" t="s">
        <v>4974</v>
      </c>
      <c r="C2492" s="224">
        <v>26.5</v>
      </c>
      <c r="D2492" s="224">
        <v>236</v>
      </c>
      <c r="E2492" s="224">
        <v>3.5</v>
      </c>
      <c r="F2492" s="224"/>
      <c r="G2492" s="224"/>
      <c r="H2492" s="224"/>
      <c r="I2492" s="224" t="s">
        <v>920</v>
      </c>
      <c r="J2492" s="224"/>
    </row>
    <row r="2493" spans="1:10" s="230" customFormat="1" x14ac:dyDescent="0.25">
      <c r="A2493" s="224">
        <v>525801524</v>
      </c>
      <c r="B2493" s="229" t="s">
        <v>4080</v>
      </c>
      <c r="C2493" s="224" t="s">
        <v>4081</v>
      </c>
      <c r="D2493" s="224" t="s">
        <v>4082</v>
      </c>
      <c r="E2493" s="224" t="s">
        <v>4083</v>
      </c>
      <c r="F2493" s="224"/>
      <c r="G2493" s="224"/>
      <c r="H2493" s="224"/>
      <c r="I2493" s="224" t="s">
        <v>1870</v>
      </c>
      <c r="J2493" s="224"/>
    </row>
    <row r="2494" spans="1:10" s="230" customFormat="1" x14ac:dyDescent="0.25">
      <c r="A2494" s="224">
        <v>525018504</v>
      </c>
      <c r="B2494" s="229" t="s">
        <v>4975</v>
      </c>
      <c r="C2494" s="224" t="s">
        <v>4976</v>
      </c>
      <c r="D2494" s="224" t="s">
        <v>4977</v>
      </c>
      <c r="E2494" s="224" t="s">
        <v>4978</v>
      </c>
      <c r="F2494" s="224"/>
      <c r="G2494" s="224"/>
      <c r="H2494" s="224"/>
      <c r="I2494" s="224" t="s">
        <v>2002</v>
      </c>
      <c r="J2494" s="224"/>
    </row>
    <row r="2495" spans="1:10" s="230" customFormat="1" x14ac:dyDescent="0.25">
      <c r="A2495" s="224">
        <v>525200165</v>
      </c>
      <c r="B2495" s="229" t="s">
        <v>4979</v>
      </c>
      <c r="C2495" s="224" t="s">
        <v>4980</v>
      </c>
      <c r="D2495" s="224" t="s">
        <v>4981</v>
      </c>
      <c r="E2495" s="224" t="s">
        <v>4982</v>
      </c>
      <c r="F2495" s="224"/>
      <c r="G2495" s="224"/>
      <c r="H2495" s="224"/>
      <c r="I2495" s="224" t="s">
        <v>1432</v>
      </c>
      <c r="J2495" s="224"/>
    </row>
    <row r="2496" spans="1:10" s="230" customFormat="1" x14ac:dyDescent="0.25">
      <c r="A2496" s="224">
        <v>636022541</v>
      </c>
      <c r="B2496" s="229" t="s">
        <v>4983</v>
      </c>
      <c r="C2496" s="224">
        <v>179</v>
      </c>
      <c r="D2496" s="224">
        <v>25063</v>
      </c>
      <c r="E2496" s="224">
        <v>10.3</v>
      </c>
      <c r="F2496" s="224"/>
      <c r="G2496" s="224"/>
      <c r="H2496" s="224"/>
      <c r="I2496" s="224" t="s">
        <v>160</v>
      </c>
      <c r="J2496" s="224"/>
    </row>
    <row r="2497" spans="1:10" s="230" customFormat="1" x14ac:dyDescent="0.25">
      <c r="A2497" s="224">
        <v>525001257</v>
      </c>
      <c r="B2497" s="229" t="s">
        <v>4984</v>
      </c>
      <c r="C2497" s="224">
        <v>100</v>
      </c>
      <c r="D2497" s="224">
        <v>3829</v>
      </c>
      <c r="E2497" s="224">
        <v>4.8</v>
      </c>
      <c r="F2497" s="224"/>
      <c r="G2497" s="224"/>
      <c r="H2497" s="224"/>
      <c r="I2497" s="224" t="s">
        <v>1584</v>
      </c>
      <c r="J2497" s="224"/>
    </row>
    <row r="2498" spans="1:10" s="230" customFormat="1" x14ac:dyDescent="0.25">
      <c r="A2498" s="224">
        <v>525801860</v>
      </c>
      <c r="B2498" s="229" t="s">
        <v>4985</v>
      </c>
      <c r="C2498" s="224" t="s">
        <v>4117</v>
      </c>
      <c r="D2498" s="224" t="s">
        <v>3608</v>
      </c>
      <c r="E2498" s="224" t="s">
        <v>4986</v>
      </c>
      <c r="F2498" s="224"/>
      <c r="G2498" s="224"/>
      <c r="H2498" s="224"/>
      <c r="I2498" s="224" t="s">
        <v>3501</v>
      </c>
      <c r="J2498" s="224"/>
    </row>
    <row r="2499" spans="1:10" s="230" customFormat="1" x14ac:dyDescent="0.25">
      <c r="A2499" s="224">
        <v>525300198</v>
      </c>
      <c r="B2499" s="229" t="s">
        <v>4987</v>
      </c>
      <c r="C2499" s="224" t="s">
        <v>4988</v>
      </c>
      <c r="D2499" s="224" t="s">
        <v>1537</v>
      </c>
      <c r="E2499" s="224" t="s">
        <v>3934</v>
      </c>
      <c r="F2499" s="224"/>
      <c r="G2499" s="224"/>
      <c r="H2499" s="224"/>
      <c r="I2499" s="224" t="s">
        <v>245</v>
      </c>
      <c r="J2499" s="224"/>
    </row>
    <row r="2500" spans="1:10" s="230" customFormat="1" x14ac:dyDescent="0.25">
      <c r="A2500" s="224">
        <v>525006132</v>
      </c>
      <c r="B2500" s="229" t="s">
        <v>4989</v>
      </c>
      <c r="C2500" s="224">
        <v>49</v>
      </c>
      <c r="D2500" s="224">
        <v>1191</v>
      </c>
      <c r="E2500" s="224">
        <v>3</v>
      </c>
      <c r="F2500" s="224"/>
      <c r="G2500" s="224"/>
      <c r="H2500" s="224"/>
      <c r="I2500" s="224" t="s">
        <v>260</v>
      </c>
      <c r="J2500" s="224"/>
    </row>
    <row r="2501" spans="1:10" s="230" customFormat="1" x14ac:dyDescent="0.25">
      <c r="A2501" s="224">
        <v>538006396</v>
      </c>
      <c r="B2501" s="229" t="s">
        <v>4990</v>
      </c>
      <c r="C2501" s="224">
        <v>189.9</v>
      </c>
      <c r="D2501" s="224">
        <v>30962</v>
      </c>
      <c r="E2501" s="224">
        <v>6.2</v>
      </c>
      <c r="F2501" s="224"/>
      <c r="G2501" s="224"/>
      <c r="H2501" s="224"/>
      <c r="I2501" s="224" t="s">
        <v>273</v>
      </c>
      <c r="J2501" s="224"/>
    </row>
    <row r="2502" spans="1:10" s="230" customFormat="1" x14ac:dyDescent="0.25">
      <c r="A2502" s="224">
        <v>525901430</v>
      </c>
      <c r="B2502" s="229" t="s">
        <v>4991</v>
      </c>
      <c r="C2502" s="224" t="s">
        <v>495</v>
      </c>
      <c r="D2502" s="224" t="s">
        <v>3586</v>
      </c>
      <c r="E2502" s="224" t="s">
        <v>4992</v>
      </c>
      <c r="F2502" s="224"/>
      <c r="G2502" s="224"/>
      <c r="H2502" s="224"/>
      <c r="I2502" s="224" t="s">
        <v>46</v>
      </c>
      <c r="J2502" s="224"/>
    </row>
    <row r="2503" spans="1:10" s="230" customFormat="1" x14ac:dyDescent="0.25">
      <c r="A2503" s="224">
        <v>525500003</v>
      </c>
      <c r="B2503" s="229" t="s">
        <v>4993</v>
      </c>
      <c r="C2503" s="224" t="s">
        <v>4994</v>
      </c>
      <c r="D2503" s="224" t="s">
        <v>4995</v>
      </c>
      <c r="E2503" s="224" t="s">
        <v>2001</v>
      </c>
      <c r="F2503" s="224"/>
      <c r="G2503" s="224"/>
      <c r="H2503" s="224"/>
      <c r="I2503" s="224" t="s">
        <v>245</v>
      </c>
      <c r="J2503" s="224"/>
    </row>
    <row r="2504" spans="1:10" s="230" customFormat="1" x14ac:dyDescent="0.25">
      <c r="A2504" s="224">
        <v>525200117</v>
      </c>
      <c r="B2504" s="229" t="s">
        <v>4996</v>
      </c>
      <c r="C2504" s="224">
        <v>40</v>
      </c>
      <c r="D2504" s="224">
        <v>116</v>
      </c>
      <c r="E2504" s="224">
        <v>2.4</v>
      </c>
      <c r="F2504" s="224"/>
      <c r="G2504" s="224"/>
      <c r="H2504" s="224"/>
      <c r="I2504" s="224" t="s">
        <v>1432</v>
      </c>
      <c r="J2504" s="224"/>
    </row>
    <row r="2505" spans="1:10" s="230" customFormat="1" x14ac:dyDescent="0.25">
      <c r="A2505" s="224">
        <v>238179000</v>
      </c>
      <c r="B2505" s="229" t="s">
        <v>4997</v>
      </c>
      <c r="C2505" s="224">
        <v>183</v>
      </c>
      <c r="D2505" s="224">
        <v>25600</v>
      </c>
      <c r="E2505" s="224">
        <v>8.8000000000000007</v>
      </c>
      <c r="F2505" s="224"/>
      <c r="G2505" s="224"/>
      <c r="H2505" s="224"/>
      <c r="I2505" s="224" t="s">
        <v>273</v>
      </c>
      <c r="J2505" s="224"/>
    </row>
    <row r="2506" spans="1:10" s="230" customFormat="1" x14ac:dyDescent="0.25">
      <c r="A2506" s="224">
        <v>219034952</v>
      </c>
      <c r="B2506" s="229" t="s">
        <v>4998</v>
      </c>
      <c r="C2506" s="224">
        <v>183</v>
      </c>
      <c r="D2506" s="224">
        <v>29723</v>
      </c>
      <c r="E2506" s="224" t="s">
        <v>834</v>
      </c>
      <c r="F2506" s="224"/>
      <c r="G2506" s="224"/>
      <c r="H2506" s="224"/>
      <c r="I2506" s="224" t="s">
        <v>160</v>
      </c>
      <c r="J2506" s="224"/>
    </row>
    <row r="2507" spans="1:10" s="230" customFormat="1" x14ac:dyDescent="0.25">
      <c r="A2507" s="224">
        <v>525200866</v>
      </c>
      <c r="B2507" s="229" t="s">
        <v>4999</v>
      </c>
      <c r="C2507" s="224">
        <v>129.30000000000001</v>
      </c>
      <c r="D2507" s="224">
        <v>10172</v>
      </c>
      <c r="E2507" s="224">
        <v>4.3</v>
      </c>
      <c r="F2507" s="224"/>
      <c r="G2507" s="224"/>
      <c r="H2507" s="224"/>
      <c r="I2507" s="224" t="s">
        <v>41</v>
      </c>
      <c r="J2507" s="224"/>
    </row>
    <row r="2508" spans="1:10" s="230" customFormat="1" x14ac:dyDescent="0.25">
      <c r="A2508" s="224">
        <v>538011786</v>
      </c>
      <c r="B2508" s="229" t="s">
        <v>5000</v>
      </c>
      <c r="C2508" s="224">
        <v>199</v>
      </c>
      <c r="D2508" s="224">
        <v>36172</v>
      </c>
      <c r="E2508" s="224">
        <v>6.9</v>
      </c>
      <c r="F2508" s="224"/>
      <c r="G2508" s="224"/>
      <c r="H2508" s="224" t="s">
        <v>5001</v>
      </c>
      <c r="I2508" s="224" t="s">
        <v>2141</v>
      </c>
      <c r="J2508" s="224"/>
    </row>
    <row r="2509" spans="1:10" s="230" customFormat="1" x14ac:dyDescent="0.25">
      <c r="A2509" s="224">
        <v>351353000</v>
      </c>
      <c r="B2509" s="229" t="s">
        <v>4199</v>
      </c>
      <c r="C2509" s="224">
        <v>228.9</v>
      </c>
      <c r="D2509" s="224">
        <v>43036</v>
      </c>
      <c r="E2509" s="224">
        <v>10.4</v>
      </c>
      <c r="F2509" s="224"/>
      <c r="G2509" s="224"/>
      <c r="H2509" s="224"/>
      <c r="I2509" s="224" t="s">
        <v>71</v>
      </c>
      <c r="J2509" s="224"/>
    </row>
    <row r="2510" spans="1:10" s="230" customFormat="1" x14ac:dyDescent="0.25">
      <c r="A2510" s="224">
        <v>525601195</v>
      </c>
      <c r="B2510" s="229" t="s">
        <v>5002</v>
      </c>
      <c r="C2510" s="224" t="s">
        <v>5003</v>
      </c>
      <c r="D2510" s="224" t="s">
        <v>5004</v>
      </c>
      <c r="E2510" s="224" t="s">
        <v>2301</v>
      </c>
      <c r="F2510" s="224"/>
      <c r="G2510" s="224"/>
      <c r="H2510" s="224"/>
      <c r="I2510" s="224" t="s">
        <v>3038</v>
      </c>
      <c r="J2510" s="224"/>
    </row>
    <row r="2511" spans="1:10" s="230" customFormat="1" x14ac:dyDescent="0.25">
      <c r="A2511" s="224">
        <v>525700298</v>
      </c>
      <c r="B2511" s="229" t="s">
        <v>4223</v>
      </c>
      <c r="C2511" s="224">
        <v>42.8</v>
      </c>
      <c r="D2511" s="224">
        <v>304</v>
      </c>
      <c r="E2511" s="224">
        <v>3.6</v>
      </c>
      <c r="F2511" s="224"/>
      <c r="G2511" s="224"/>
      <c r="H2511" s="224"/>
      <c r="I2511" s="224" t="s">
        <v>1432</v>
      </c>
      <c r="J2511" s="224"/>
    </row>
    <row r="2512" spans="1:10" s="230" customFormat="1" x14ac:dyDescent="0.25">
      <c r="A2512" s="224">
        <v>525003593</v>
      </c>
      <c r="B2512" s="229" t="s">
        <v>5005</v>
      </c>
      <c r="C2512" s="224">
        <v>80.67</v>
      </c>
      <c r="D2512" s="224">
        <v>2876</v>
      </c>
      <c r="E2512" s="224">
        <v>4.3</v>
      </c>
      <c r="F2512" s="224"/>
      <c r="G2512" s="224"/>
      <c r="H2512" s="224"/>
      <c r="I2512" s="224" t="s">
        <v>96</v>
      </c>
      <c r="J2512" s="224"/>
    </row>
    <row r="2513" spans="1:10" s="230" customFormat="1" x14ac:dyDescent="0.25">
      <c r="A2513" s="224">
        <v>353472000</v>
      </c>
      <c r="B2513" s="229" t="s">
        <v>5006</v>
      </c>
      <c r="C2513" s="224">
        <v>179</v>
      </c>
      <c r="D2513" s="224">
        <v>23232</v>
      </c>
      <c r="E2513" s="224">
        <v>6.29</v>
      </c>
      <c r="F2513" s="224"/>
      <c r="G2513" s="224"/>
      <c r="H2513" s="224"/>
      <c r="I2513" s="224" t="s">
        <v>71</v>
      </c>
      <c r="J2513" s="224"/>
    </row>
    <row r="2514" spans="1:10" s="230" customFormat="1" x14ac:dyDescent="0.25">
      <c r="A2514" s="224">
        <v>354939000</v>
      </c>
      <c r="B2514" s="229" t="s">
        <v>3617</v>
      </c>
      <c r="C2514" s="224">
        <v>107.9</v>
      </c>
      <c r="D2514" s="224">
        <v>4374</v>
      </c>
      <c r="E2514" s="224">
        <v>6.1</v>
      </c>
      <c r="F2514" s="224"/>
      <c r="G2514" s="224"/>
      <c r="H2514" s="224"/>
      <c r="I2514" s="224" t="s">
        <v>273</v>
      </c>
      <c r="J2514" s="224"/>
    </row>
    <row r="2515" spans="1:10" s="230" customFormat="1" x14ac:dyDescent="0.25">
      <c r="A2515" s="224">
        <v>525024232</v>
      </c>
      <c r="B2515" s="229" t="s">
        <v>5007</v>
      </c>
      <c r="C2515" s="224" t="s">
        <v>3916</v>
      </c>
      <c r="D2515" s="224" t="s">
        <v>5008</v>
      </c>
      <c r="E2515" s="224" t="s">
        <v>540</v>
      </c>
      <c r="F2515" s="224"/>
      <c r="G2515" s="224"/>
      <c r="H2515" s="224"/>
      <c r="I2515" s="224" t="s">
        <v>1432</v>
      </c>
      <c r="J2515" s="224"/>
    </row>
    <row r="2516" spans="1:10" s="230" customFormat="1" x14ac:dyDescent="0.25">
      <c r="A2516" s="224">
        <v>525701627</v>
      </c>
      <c r="B2516" s="229" t="s">
        <v>5009</v>
      </c>
      <c r="C2516" s="224">
        <v>32.450000000000003</v>
      </c>
      <c r="D2516" s="224">
        <v>412</v>
      </c>
      <c r="E2516" s="224">
        <v>4.8</v>
      </c>
      <c r="F2516" s="224"/>
      <c r="G2516" s="224"/>
      <c r="H2516" s="224"/>
      <c r="I2516" s="224" t="s">
        <v>183</v>
      </c>
      <c r="J2516" s="224"/>
    </row>
    <row r="2517" spans="1:10" s="230" customFormat="1" x14ac:dyDescent="0.25">
      <c r="A2517" s="224">
        <v>525024263</v>
      </c>
      <c r="B2517" s="229" t="s">
        <v>5010</v>
      </c>
      <c r="C2517" s="224" t="s">
        <v>411</v>
      </c>
      <c r="D2517" s="224" t="s">
        <v>3627</v>
      </c>
      <c r="E2517" s="224" t="s">
        <v>2093</v>
      </c>
      <c r="F2517" s="224"/>
      <c r="G2517" s="224"/>
      <c r="H2517" s="224"/>
      <c r="I2517" s="224" t="s">
        <v>245</v>
      </c>
      <c r="J2517" s="224"/>
    </row>
    <row r="2518" spans="1:10" s="230" customFormat="1" x14ac:dyDescent="0.25">
      <c r="A2518" s="224">
        <v>563033400</v>
      </c>
      <c r="B2518" s="229" t="s">
        <v>5011</v>
      </c>
      <c r="C2518" s="224">
        <v>199.9</v>
      </c>
      <c r="D2518" s="224">
        <v>35613</v>
      </c>
      <c r="E2518" s="224">
        <v>9.6</v>
      </c>
      <c r="F2518" s="224"/>
      <c r="G2518" s="224"/>
      <c r="H2518" s="224"/>
      <c r="I2518" s="224"/>
      <c r="J2518" s="224"/>
    </row>
    <row r="2519" spans="1:10" s="230" customFormat="1" x14ac:dyDescent="0.25">
      <c r="A2519" s="224">
        <v>636019199</v>
      </c>
      <c r="B2519" s="229" t="s">
        <v>3621</v>
      </c>
      <c r="C2519" s="224" t="s">
        <v>3622</v>
      </c>
      <c r="D2519" s="224">
        <v>11918</v>
      </c>
      <c r="E2519" s="224" t="s">
        <v>204</v>
      </c>
      <c r="F2519" s="224"/>
      <c r="G2519" s="224"/>
      <c r="H2519" s="224"/>
      <c r="I2519" s="224" t="s">
        <v>2096</v>
      </c>
      <c r="J2519" s="224"/>
    </row>
    <row r="2520" spans="1:10" s="230" customFormat="1" x14ac:dyDescent="0.25">
      <c r="A2520" s="224">
        <v>525901626</v>
      </c>
      <c r="B2520" s="229" t="s">
        <v>5012</v>
      </c>
      <c r="C2520" s="224" t="s">
        <v>1164</v>
      </c>
      <c r="D2520" s="224" t="s">
        <v>5013</v>
      </c>
      <c r="E2520" s="224" t="s">
        <v>5014</v>
      </c>
      <c r="F2520" s="224"/>
      <c r="G2520" s="224"/>
      <c r="H2520" s="224"/>
      <c r="I2520" s="224" t="s">
        <v>46</v>
      </c>
      <c r="J2520" s="224"/>
    </row>
    <row r="2521" spans="1:10" s="230" customFormat="1" x14ac:dyDescent="0.25">
      <c r="A2521" s="224">
        <v>525500419</v>
      </c>
      <c r="B2521" s="229" t="s">
        <v>5015</v>
      </c>
      <c r="C2521" s="224">
        <v>32.450000000000003</v>
      </c>
      <c r="D2521" s="224">
        <v>412</v>
      </c>
      <c r="E2521" s="224">
        <v>4.8</v>
      </c>
      <c r="F2521" s="224"/>
      <c r="G2521" s="224"/>
      <c r="H2521" s="224"/>
      <c r="I2521" s="224" t="s">
        <v>183</v>
      </c>
      <c r="J2521" s="224"/>
    </row>
    <row r="2522" spans="1:10" s="230" customFormat="1" x14ac:dyDescent="0.25">
      <c r="A2522" s="224">
        <v>525600314</v>
      </c>
      <c r="B2522" s="229" t="s">
        <v>5016</v>
      </c>
      <c r="C2522" s="224" t="s">
        <v>5017</v>
      </c>
      <c r="D2522" s="224" t="s">
        <v>4293</v>
      </c>
      <c r="E2522" s="224" t="s">
        <v>5018</v>
      </c>
      <c r="F2522" s="224"/>
      <c r="G2522" s="224"/>
      <c r="H2522" s="224"/>
      <c r="I2522" s="224" t="s">
        <v>1432</v>
      </c>
      <c r="J2522" s="224"/>
    </row>
    <row r="2523" spans="1:10" s="230" customFormat="1" x14ac:dyDescent="0.25">
      <c r="A2523" s="224">
        <v>525500520</v>
      </c>
      <c r="B2523" s="229" t="s">
        <v>5019</v>
      </c>
      <c r="C2523" s="224" t="s">
        <v>5020</v>
      </c>
      <c r="D2523" s="224" t="s">
        <v>3670</v>
      </c>
      <c r="E2523" s="224" t="s">
        <v>5021</v>
      </c>
      <c r="F2523" s="224"/>
      <c r="G2523" s="224"/>
      <c r="H2523" s="224"/>
      <c r="I2523" s="224" t="s">
        <v>39</v>
      </c>
      <c r="J2523" s="224"/>
    </row>
    <row r="2524" spans="1:10" s="230" customFormat="1" x14ac:dyDescent="0.25">
      <c r="A2524" s="224">
        <v>538011327</v>
      </c>
      <c r="B2524" s="229" t="s">
        <v>3610</v>
      </c>
      <c r="C2524" s="224">
        <v>183</v>
      </c>
      <c r="D2524" s="224">
        <v>30100</v>
      </c>
      <c r="E2524" s="224" t="s">
        <v>89</v>
      </c>
      <c r="F2524" s="224"/>
      <c r="G2524" s="224"/>
      <c r="H2524" s="224"/>
      <c r="I2524" s="224" t="s">
        <v>160</v>
      </c>
      <c r="J2524" s="224"/>
    </row>
    <row r="2525" spans="1:10" s="230" customFormat="1" x14ac:dyDescent="0.25">
      <c r="A2525" s="224">
        <v>525271053</v>
      </c>
      <c r="B2525" s="229" t="s">
        <v>4195</v>
      </c>
      <c r="C2525" s="224">
        <v>128</v>
      </c>
      <c r="D2525" s="224">
        <v>8627</v>
      </c>
      <c r="E2525" s="224">
        <v>6</v>
      </c>
      <c r="F2525" s="224"/>
      <c r="G2525" s="224"/>
      <c r="H2525" s="224" t="s">
        <v>5022</v>
      </c>
      <c r="I2525" s="224" t="s">
        <v>1448</v>
      </c>
      <c r="J2525" s="224"/>
    </row>
    <row r="2526" spans="1:10" s="230" customFormat="1" x14ac:dyDescent="0.25">
      <c r="A2526" s="224">
        <v>525003489</v>
      </c>
      <c r="B2526" s="229" t="s">
        <v>5023</v>
      </c>
      <c r="C2526" s="224">
        <v>65</v>
      </c>
      <c r="D2526" s="224">
        <v>527</v>
      </c>
      <c r="E2526" s="224">
        <v>3.3</v>
      </c>
      <c r="F2526" s="224"/>
      <c r="G2526" s="224"/>
      <c r="H2526" s="224"/>
      <c r="I2526" s="224" t="s">
        <v>245</v>
      </c>
      <c r="J2526" s="224"/>
    </row>
    <row r="2527" spans="1:10" s="230" customFormat="1" x14ac:dyDescent="0.25">
      <c r="A2527" s="224">
        <v>413255730</v>
      </c>
      <c r="B2527" s="229" t="s">
        <v>5024</v>
      </c>
      <c r="C2527" s="224">
        <v>96</v>
      </c>
      <c r="D2527" s="224">
        <v>2999</v>
      </c>
      <c r="E2527" s="224">
        <v>5.3</v>
      </c>
      <c r="F2527" s="224"/>
      <c r="G2527" s="224"/>
      <c r="H2527" s="224"/>
      <c r="I2527" s="224" t="s">
        <v>160</v>
      </c>
      <c r="J2527" s="224"/>
    </row>
    <row r="2528" spans="1:10" s="230" customFormat="1" x14ac:dyDescent="0.25">
      <c r="A2528" s="224">
        <v>525601446</v>
      </c>
      <c r="B2528" s="229" t="s">
        <v>4245</v>
      </c>
      <c r="C2528" s="224" t="s">
        <v>615</v>
      </c>
      <c r="D2528" s="224" t="s">
        <v>4246</v>
      </c>
      <c r="E2528" s="224" t="s">
        <v>2301</v>
      </c>
      <c r="F2528" s="224"/>
      <c r="G2528" s="224"/>
      <c r="H2528" s="224"/>
      <c r="I2528" s="224" t="s">
        <v>46</v>
      </c>
      <c r="J2528" s="224"/>
    </row>
    <row r="2529" spans="1:10" s="230" customFormat="1" x14ac:dyDescent="0.25">
      <c r="A2529" s="224">
        <v>525018157</v>
      </c>
      <c r="B2529" s="229" t="s">
        <v>5025</v>
      </c>
      <c r="C2529" s="224" t="s">
        <v>676</v>
      </c>
      <c r="D2529" s="224" t="s">
        <v>5026</v>
      </c>
      <c r="E2529" s="224" t="s">
        <v>5027</v>
      </c>
      <c r="F2529" s="224"/>
      <c r="G2529" s="224"/>
      <c r="H2529" s="224"/>
      <c r="I2529" s="224" t="s">
        <v>5028</v>
      </c>
      <c r="J2529" s="224"/>
    </row>
    <row r="2530" spans="1:10" s="230" customFormat="1" x14ac:dyDescent="0.25">
      <c r="A2530" s="224">
        <v>525701901</v>
      </c>
      <c r="B2530" s="229" t="s">
        <v>5029</v>
      </c>
      <c r="C2530" s="224">
        <v>189.8</v>
      </c>
      <c r="D2530" s="224">
        <v>27011</v>
      </c>
      <c r="E2530" s="224" t="s">
        <v>1754</v>
      </c>
      <c r="F2530" s="224"/>
      <c r="G2530" s="224"/>
      <c r="H2530" s="224"/>
      <c r="I2530" s="224" t="s">
        <v>46</v>
      </c>
      <c r="J2530" s="224"/>
    </row>
    <row r="2531" spans="1:10" s="230" customFormat="1" x14ac:dyDescent="0.25">
      <c r="A2531" s="224">
        <v>548757000</v>
      </c>
      <c r="B2531" s="229" t="s">
        <v>5030</v>
      </c>
      <c r="C2531" s="224">
        <v>125</v>
      </c>
      <c r="D2531" s="224">
        <v>9967</v>
      </c>
      <c r="E2531" s="224">
        <v>6.2</v>
      </c>
      <c r="F2531" s="224"/>
      <c r="G2531" s="224"/>
      <c r="H2531" s="224"/>
      <c r="I2531" s="224" t="s">
        <v>262</v>
      </c>
      <c r="J2531" s="224"/>
    </row>
    <row r="2532" spans="1:10" s="230" customFormat="1" x14ac:dyDescent="0.25">
      <c r="A2532" s="224">
        <v>525005105</v>
      </c>
      <c r="B2532" s="229" t="s">
        <v>5031</v>
      </c>
      <c r="C2532" s="224">
        <v>98</v>
      </c>
      <c r="D2532" s="224">
        <v>5284</v>
      </c>
      <c r="E2532" s="224">
        <v>6.2</v>
      </c>
      <c r="F2532" s="224"/>
      <c r="G2532" s="224"/>
      <c r="H2532" s="224"/>
      <c r="I2532" s="224" t="s">
        <v>153</v>
      </c>
      <c r="J2532" s="224"/>
    </row>
    <row r="2533" spans="1:10" s="230" customFormat="1" x14ac:dyDescent="0.25">
      <c r="A2533" s="224">
        <v>353328000</v>
      </c>
      <c r="B2533" s="229" t="s">
        <v>3713</v>
      </c>
      <c r="C2533" s="224">
        <v>229</v>
      </c>
      <c r="D2533" s="224">
        <v>43062</v>
      </c>
      <c r="E2533" s="224">
        <v>9.6999999999999993</v>
      </c>
      <c r="F2533" s="224"/>
      <c r="G2533" s="224"/>
      <c r="H2533" s="224"/>
      <c r="I2533" s="224" t="s">
        <v>71</v>
      </c>
      <c r="J2533" s="224"/>
    </row>
    <row r="2534" spans="1:10" s="230" customFormat="1" x14ac:dyDescent="0.25">
      <c r="A2534" s="224">
        <v>257351000</v>
      </c>
      <c r="B2534" s="229" t="s">
        <v>4258</v>
      </c>
      <c r="C2534" s="224">
        <v>183.8</v>
      </c>
      <c r="D2534" s="224">
        <v>29214</v>
      </c>
      <c r="E2534" s="224">
        <v>7.3</v>
      </c>
      <c r="F2534" s="224"/>
      <c r="G2534" s="224"/>
      <c r="H2534" s="224"/>
      <c r="I2534" s="224"/>
      <c r="J2534" s="224"/>
    </row>
    <row r="2535" spans="1:10" s="230" customFormat="1" x14ac:dyDescent="0.25">
      <c r="A2535" s="224">
        <v>355332000</v>
      </c>
      <c r="B2535" s="229" t="s">
        <v>5032</v>
      </c>
      <c r="C2535" s="224">
        <v>120</v>
      </c>
      <c r="D2535" s="224">
        <v>8860</v>
      </c>
      <c r="E2535" s="224">
        <v>6</v>
      </c>
      <c r="F2535" s="224"/>
      <c r="G2535" s="224"/>
      <c r="H2535" s="224"/>
      <c r="I2535" s="224" t="s">
        <v>40</v>
      </c>
      <c r="J2535" s="224"/>
    </row>
    <row r="2536" spans="1:10" s="230" customFormat="1" x14ac:dyDescent="0.25">
      <c r="A2536" s="224">
        <v>636013382</v>
      </c>
      <c r="B2536" s="229" t="s">
        <v>5033</v>
      </c>
      <c r="C2536" s="224">
        <v>220</v>
      </c>
      <c r="D2536" s="224">
        <v>42747</v>
      </c>
      <c r="E2536" s="224">
        <v>8.4</v>
      </c>
      <c r="F2536" s="224"/>
      <c r="G2536" s="224"/>
      <c r="H2536" s="224"/>
      <c r="I2536" s="224"/>
      <c r="J2536" s="224"/>
    </row>
    <row r="2537" spans="1:10" s="230" customFormat="1" x14ac:dyDescent="0.25">
      <c r="A2537" s="224">
        <v>525022297</v>
      </c>
      <c r="B2537" s="229" t="s">
        <v>5034</v>
      </c>
      <c r="C2537" s="224">
        <v>65.3</v>
      </c>
      <c r="D2537" s="224">
        <v>979</v>
      </c>
      <c r="E2537" s="224">
        <v>3.04</v>
      </c>
      <c r="F2537" s="224"/>
      <c r="G2537" s="224"/>
      <c r="H2537" s="224"/>
      <c r="I2537" s="224" t="s">
        <v>1584</v>
      </c>
      <c r="J2537" s="224"/>
    </row>
    <row r="2538" spans="1:10" s="230" customFormat="1" x14ac:dyDescent="0.25">
      <c r="A2538" s="224">
        <v>352582000</v>
      </c>
      <c r="B2538" s="229" t="s">
        <v>3726</v>
      </c>
      <c r="C2538" s="224">
        <v>228.9</v>
      </c>
      <c r="D2538" s="224">
        <v>43083</v>
      </c>
      <c r="E2538" s="224">
        <v>12.4</v>
      </c>
      <c r="F2538" s="224"/>
      <c r="G2538" s="224"/>
      <c r="H2538" s="224"/>
      <c r="I2538" s="224" t="s">
        <v>516</v>
      </c>
      <c r="J2538" s="224"/>
    </row>
    <row r="2539" spans="1:10" s="230" customFormat="1" x14ac:dyDescent="0.25">
      <c r="A2539" s="224">
        <v>525003671</v>
      </c>
      <c r="B2539" s="229" t="s">
        <v>4231</v>
      </c>
      <c r="C2539" s="224" t="s">
        <v>251</v>
      </c>
      <c r="D2539" s="224" t="s">
        <v>4232</v>
      </c>
      <c r="E2539" s="224" t="s">
        <v>4233</v>
      </c>
      <c r="F2539" s="224"/>
      <c r="G2539" s="224"/>
      <c r="H2539" s="224"/>
      <c r="I2539" s="224" t="s">
        <v>1976</v>
      </c>
      <c r="J2539" s="224"/>
    </row>
    <row r="2540" spans="1:10" s="230" customFormat="1" x14ac:dyDescent="0.25">
      <c r="A2540" s="224">
        <v>525012399</v>
      </c>
      <c r="B2540" s="229" t="s">
        <v>4142</v>
      </c>
      <c r="C2540" s="224" t="s">
        <v>4143</v>
      </c>
      <c r="D2540" s="224" t="s">
        <v>3863</v>
      </c>
      <c r="E2540" s="224" t="s">
        <v>4144</v>
      </c>
      <c r="F2540" s="224"/>
      <c r="G2540" s="224"/>
      <c r="H2540" s="224"/>
      <c r="I2540" s="224" t="s">
        <v>4145</v>
      </c>
      <c r="J2540" s="224"/>
    </row>
    <row r="2541" spans="1:10" s="230" customFormat="1" x14ac:dyDescent="0.25">
      <c r="A2541" s="224">
        <v>525401398</v>
      </c>
      <c r="B2541" s="229" t="s">
        <v>5035</v>
      </c>
      <c r="C2541" s="224">
        <v>42</v>
      </c>
      <c r="D2541" s="224">
        <v>244</v>
      </c>
      <c r="E2541" s="224">
        <v>2</v>
      </c>
      <c r="F2541" s="224"/>
      <c r="G2541" s="224"/>
      <c r="H2541" s="224"/>
      <c r="I2541" s="224" t="s">
        <v>260</v>
      </c>
      <c r="J2541" s="224"/>
    </row>
    <row r="2542" spans="1:10" s="230" customFormat="1" x14ac:dyDescent="0.25">
      <c r="A2542" s="224">
        <v>352001255</v>
      </c>
      <c r="B2542" s="229" t="s">
        <v>5036</v>
      </c>
      <c r="C2542" s="224" t="s">
        <v>5037</v>
      </c>
      <c r="D2542" s="224">
        <v>23232</v>
      </c>
      <c r="E2542" s="224" t="s">
        <v>1874</v>
      </c>
      <c r="F2542" s="224"/>
      <c r="G2542" s="224"/>
      <c r="H2542" s="224"/>
      <c r="I2542" s="224" t="s">
        <v>150</v>
      </c>
      <c r="J2542" s="224"/>
    </row>
    <row r="2543" spans="1:10" s="230" customFormat="1" x14ac:dyDescent="0.25">
      <c r="A2543" s="224">
        <v>525400575</v>
      </c>
      <c r="B2543" s="229" t="s">
        <v>3687</v>
      </c>
      <c r="C2543" s="224" t="s">
        <v>3688</v>
      </c>
      <c r="D2543" s="224" t="s">
        <v>3689</v>
      </c>
      <c r="E2543" s="224" t="s">
        <v>2389</v>
      </c>
      <c r="F2543" s="224"/>
      <c r="G2543" s="224"/>
      <c r="H2543" s="224"/>
      <c r="I2543" s="224" t="s">
        <v>39</v>
      </c>
      <c r="J2543" s="224"/>
    </row>
    <row r="2544" spans="1:10" s="230" customFormat="1" x14ac:dyDescent="0.25">
      <c r="A2544" s="224">
        <v>351724000</v>
      </c>
      <c r="B2544" s="229" t="s">
        <v>3725</v>
      </c>
      <c r="C2544" s="224">
        <v>199</v>
      </c>
      <c r="D2544" s="224">
        <v>34795</v>
      </c>
      <c r="E2544" s="224">
        <v>6.5</v>
      </c>
      <c r="F2544" s="224"/>
      <c r="G2544" s="224"/>
      <c r="H2544" s="224"/>
      <c r="I2544" s="224" t="s">
        <v>262</v>
      </c>
      <c r="J2544" s="224"/>
    </row>
    <row r="2545" spans="1:10" s="230" customFormat="1" x14ac:dyDescent="0.25">
      <c r="A2545" s="224">
        <v>525010101</v>
      </c>
      <c r="B2545" s="229" t="s">
        <v>5038</v>
      </c>
      <c r="C2545" s="224" t="s">
        <v>4235</v>
      </c>
      <c r="D2545" s="224" t="s">
        <v>4236</v>
      </c>
      <c r="E2545" s="224" t="s">
        <v>4237</v>
      </c>
      <c r="F2545" s="224"/>
      <c r="G2545" s="224"/>
      <c r="H2545" s="224"/>
      <c r="I2545" s="224" t="s">
        <v>2002</v>
      </c>
      <c r="J2545" s="224"/>
    </row>
    <row r="2546" spans="1:10" s="230" customFormat="1" x14ac:dyDescent="0.25">
      <c r="A2546" s="224">
        <v>525023320</v>
      </c>
      <c r="B2546" s="229" t="s">
        <v>5039</v>
      </c>
      <c r="C2546" s="224" t="s">
        <v>5040</v>
      </c>
      <c r="D2546" s="224" t="s">
        <v>217</v>
      </c>
      <c r="E2546" s="224" t="s">
        <v>5041</v>
      </c>
      <c r="F2546" s="224"/>
      <c r="G2546" s="224"/>
      <c r="H2546" s="224"/>
      <c r="I2546" s="224" t="s">
        <v>46</v>
      </c>
      <c r="J2546" s="224"/>
    </row>
    <row r="2547" spans="1:10" s="230" customFormat="1" x14ac:dyDescent="0.25">
      <c r="A2547" s="224">
        <v>525018285</v>
      </c>
      <c r="B2547" s="229" t="s">
        <v>5042</v>
      </c>
      <c r="C2547" s="224" t="s">
        <v>5043</v>
      </c>
      <c r="D2547" s="224" t="s">
        <v>5044</v>
      </c>
      <c r="E2547" s="224" t="s">
        <v>5045</v>
      </c>
      <c r="F2547" s="224"/>
      <c r="G2547" s="224"/>
      <c r="H2547" s="224"/>
      <c r="I2547" s="224" t="s">
        <v>39</v>
      </c>
      <c r="J2547" s="224"/>
    </row>
    <row r="2548" spans="1:10" s="230" customFormat="1" x14ac:dyDescent="0.25">
      <c r="A2548" s="224">
        <v>525200499</v>
      </c>
      <c r="B2548" s="229" t="s">
        <v>5046</v>
      </c>
      <c r="C2548" s="224" t="s">
        <v>5047</v>
      </c>
      <c r="D2548" s="224" t="s">
        <v>1212</v>
      </c>
      <c r="E2548" s="224" t="s">
        <v>5048</v>
      </c>
      <c r="F2548" s="224"/>
      <c r="G2548" s="224"/>
      <c r="H2548" s="224"/>
      <c r="I2548" s="224" t="s">
        <v>3594</v>
      </c>
      <c r="J2548" s="224"/>
    </row>
    <row r="2549" spans="1:10" s="230" customFormat="1" x14ac:dyDescent="0.25">
      <c r="A2549" s="224">
        <v>525003337</v>
      </c>
      <c r="B2549" s="229" t="s">
        <v>4314</v>
      </c>
      <c r="C2549" s="224">
        <v>151</v>
      </c>
      <c r="D2549" s="224">
        <v>15380</v>
      </c>
      <c r="E2549" s="224">
        <v>6.2</v>
      </c>
      <c r="F2549" s="224"/>
      <c r="G2549" s="224"/>
      <c r="H2549" s="224"/>
      <c r="I2549" s="224" t="s">
        <v>48</v>
      </c>
      <c r="J2549" s="224"/>
    </row>
    <row r="2550" spans="1:10" s="230" customFormat="1" x14ac:dyDescent="0.25">
      <c r="A2550" s="224">
        <v>525121081</v>
      </c>
      <c r="B2550" s="229" t="s">
        <v>5049</v>
      </c>
      <c r="C2550" s="224">
        <v>69.42</v>
      </c>
      <c r="D2550" s="224">
        <v>1956</v>
      </c>
      <c r="E2550" s="224">
        <v>4.0999999999999996</v>
      </c>
      <c r="F2550" s="224"/>
      <c r="G2550" s="224"/>
      <c r="H2550" s="224"/>
      <c r="I2550" s="224" t="s">
        <v>96</v>
      </c>
      <c r="J2550" s="224"/>
    </row>
    <row r="2551" spans="1:10" s="230" customFormat="1" x14ac:dyDescent="0.25">
      <c r="A2551" s="224">
        <v>525005131</v>
      </c>
      <c r="B2551" s="229" t="s">
        <v>5050</v>
      </c>
      <c r="C2551" s="224" t="s">
        <v>5051</v>
      </c>
      <c r="D2551" s="224" t="s">
        <v>5052</v>
      </c>
      <c r="E2551" s="224" t="s">
        <v>1060</v>
      </c>
      <c r="F2551" s="224"/>
      <c r="G2551" s="224"/>
      <c r="H2551" s="224"/>
      <c r="I2551" s="224" t="s">
        <v>1432</v>
      </c>
      <c r="J2551" s="224"/>
    </row>
    <row r="2552" spans="1:10" s="230" customFormat="1" x14ac:dyDescent="0.25">
      <c r="A2552" s="224">
        <v>636018519</v>
      </c>
      <c r="B2552" s="229" t="s">
        <v>3760</v>
      </c>
      <c r="C2552" s="224">
        <v>135</v>
      </c>
      <c r="D2552" s="224">
        <v>9997</v>
      </c>
      <c r="E2552" s="224">
        <v>7.4</v>
      </c>
      <c r="F2552" s="224"/>
      <c r="G2552" s="224"/>
      <c r="H2552" s="224"/>
      <c r="I2552" s="224" t="s">
        <v>1895</v>
      </c>
      <c r="J2552" s="224"/>
    </row>
    <row r="2553" spans="1:10" s="230" customFormat="1" x14ac:dyDescent="0.25">
      <c r="A2553" s="224">
        <v>372963000</v>
      </c>
      <c r="B2553" s="229" t="s">
        <v>5053</v>
      </c>
      <c r="C2553" s="224">
        <v>170</v>
      </c>
      <c r="D2553" s="224">
        <v>17433</v>
      </c>
      <c r="E2553" s="224">
        <v>5.4</v>
      </c>
      <c r="F2553" s="224"/>
      <c r="G2553" s="224"/>
      <c r="H2553" s="224"/>
      <c r="I2553" s="224" t="s">
        <v>154</v>
      </c>
      <c r="J2553" s="224"/>
    </row>
    <row r="2554" spans="1:10" s="230" customFormat="1" x14ac:dyDescent="0.25">
      <c r="A2554" s="224">
        <v>525200296</v>
      </c>
      <c r="B2554" s="229" t="s">
        <v>5054</v>
      </c>
      <c r="C2554" s="224" t="s">
        <v>5055</v>
      </c>
      <c r="D2554" s="224" t="s">
        <v>5056</v>
      </c>
      <c r="E2554" s="224" t="s">
        <v>2825</v>
      </c>
      <c r="F2554" s="224"/>
      <c r="G2554" s="224"/>
      <c r="H2554" s="224"/>
      <c r="I2554" s="224" t="s">
        <v>150</v>
      </c>
      <c r="J2554" s="224"/>
    </row>
    <row r="2555" spans="1:10" s="230" customFormat="1" x14ac:dyDescent="0.25">
      <c r="A2555" s="224">
        <v>232017152</v>
      </c>
      <c r="B2555" s="229" t="s">
        <v>5057</v>
      </c>
      <c r="C2555" s="224">
        <v>200</v>
      </c>
      <c r="D2555" s="224">
        <v>35606</v>
      </c>
      <c r="E2555" s="224">
        <v>6.3</v>
      </c>
      <c r="F2555" s="224"/>
      <c r="G2555" s="224"/>
      <c r="H2555" s="224"/>
      <c r="I2555" s="224" t="s">
        <v>262</v>
      </c>
      <c r="J2555" s="224"/>
    </row>
    <row r="2556" spans="1:10" s="230" customFormat="1" x14ac:dyDescent="0.25">
      <c r="A2556" s="224">
        <v>525500553</v>
      </c>
      <c r="B2556" s="229" t="s">
        <v>5058</v>
      </c>
      <c r="C2556" s="224" t="s">
        <v>5059</v>
      </c>
      <c r="D2556" s="224" t="s">
        <v>4284</v>
      </c>
      <c r="E2556" s="224" t="s">
        <v>5060</v>
      </c>
      <c r="F2556" s="224"/>
      <c r="G2556" s="224"/>
      <c r="H2556" s="224"/>
      <c r="I2556" s="224" t="s">
        <v>1584</v>
      </c>
      <c r="J2556" s="224"/>
    </row>
    <row r="2557" spans="1:10" s="230" customFormat="1" x14ac:dyDescent="0.25">
      <c r="A2557" s="224">
        <v>525003428</v>
      </c>
      <c r="B2557" s="229" t="s">
        <v>5061</v>
      </c>
      <c r="C2557" s="224" t="s">
        <v>5062</v>
      </c>
      <c r="D2557" s="224" t="s">
        <v>3821</v>
      </c>
      <c r="E2557" s="224" t="s">
        <v>5063</v>
      </c>
      <c r="F2557" s="224"/>
      <c r="G2557" s="224"/>
      <c r="H2557" s="224"/>
      <c r="I2557" s="224" t="s">
        <v>39</v>
      </c>
      <c r="J2557" s="224"/>
    </row>
    <row r="2558" spans="1:10" s="230" customFormat="1" x14ac:dyDescent="0.25">
      <c r="A2558" s="224">
        <v>525601448</v>
      </c>
      <c r="B2558" s="229" t="s">
        <v>3806</v>
      </c>
      <c r="C2558" s="224">
        <v>57</v>
      </c>
      <c r="D2558" s="224">
        <v>294</v>
      </c>
      <c r="E2558" s="224">
        <v>3.2</v>
      </c>
      <c r="F2558" s="224"/>
      <c r="G2558" s="224"/>
      <c r="H2558" s="224"/>
      <c r="I2558" s="224" t="s">
        <v>3120</v>
      </c>
      <c r="J2558" s="224"/>
    </row>
    <row r="2559" spans="1:10" s="230" customFormat="1" x14ac:dyDescent="0.25">
      <c r="A2559" s="224">
        <v>525012372</v>
      </c>
      <c r="B2559" s="229" t="s">
        <v>5064</v>
      </c>
      <c r="C2559" s="224"/>
      <c r="D2559" s="224"/>
      <c r="E2559" s="224"/>
      <c r="F2559" s="224"/>
      <c r="G2559" s="224"/>
      <c r="H2559" s="224"/>
      <c r="I2559" s="224" t="s">
        <v>46</v>
      </c>
      <c r="J2559" s="224"/>
    </row>
    <row r="2560" spans="1:10" s="230" customFormat="1" x14ac:dyDescent="0.25">
      <c r="A2560" s="224">
        <v>352002612</v>
      </c>
      <c r="B2560" s="229" t="s">
        <v>5065</v>
      </c>
      <c r="C2560" s="224">
        <v>183</v>
      </c>
      <c r="D2560" s="224">
        <v>29246</v>
      </c>
      <c r="E2560" s="224">
        <v>7.7</v>
      </c>
      <c r="F2560" s="224"/>
      <c r="G2560" s="224"/>
      <c r="H2560" s="224"/>
      <c r="I2560" s="224" t="s">
        <v>1432</v>
      </c>
      <c r="J2560" s="224"/>
    </row>
    <row r="2561" spans="1:10" s="230" customFormat="1" x14ac:dyDescent="0.25">
      <c r="A2561" s="224">
        <v>477692900</v>
      </c>
      <c r="B2561" s="229" t="s">
        <v>5066</v>
      </c>
      <c r="C2561" s="224">
        <v>180</v>
      </c>
      <c r="D2561" s="224">
        <v>23506</v>
      </c>
      <c r="E2561" s="224" t="s">
        <v>1874</v>
      </c>
      <c r="F2561" s="224"/>
      <c r="G2561" s="224"/>
      <c r="H2561" s="224"/>
      <c r="I2561" s="224" t="s">
        <v>71</v>
      </c>
      <c r="J2561" s="224"/>
    </row>
    <row r="2562" spans="1:10" s="230" customFormat="1" x14ac:dyDescent="0.25">
      <c r="A2562" s="224">
        <v>525008097</v>
      </c>
      <c r="B2562" s="229" t="s">
        <v>5067</v>
      </c>
      <c r="C2562" s="224">
        <v>183</v>
      </c>
      <c r="D2562" s="224">
        <v>27286</v>
      </c>
      <c r="E2562" s="224">
        <v>9.6</v>
      </c>
      <c r="F2562" s="224"/>
      <c r="G2562" s="224"/>
      <c r="H2562" s="224"/>
      <c r="I2562" s="224" t="s">
        <v>96</v>
      </c>
      <c r="J2562" s="224"/>
    </row>
    <row r="2563" spans="1:10" s="230" customFormat="1" x14ac:dyDescent="0.25">
      <c r="A2563" s="224">
        <v>563093300</v>
      </c>
      <c r="B2563" s="229" t="s">
        <v>5068</v>
      </c>
      <c r="C2563" s="224">
        <v>199</v>
      </c>
      <c r="D2563" s="224">
        <v>35953</v>
      </c>
      <c r="E2563" s="224">
        <v>9.6</v>
      </c>
      <c r="F2563" s="224"/>
      <c r="G2563" s="224"/>
      <c r="H2563" s="224"/>
      <c r="I2563" s="224" t="s">
        <v>516</v>
      </c>
      <c r="J2563" s="224"/>
    </row>
    <row r="2564" spans="1:10" s="230" customFormat="1" x14ac:dyDescent="0.25">
      <c r="A2564" s="224">
        <v>352003358</v>
      </c>
      <c r="B2564" s="229" t="s">
        <v>5069</v>
      </c>
      <c r="C2564" s="224">
        <v>120</v>
      </c>
      <c r="D2564" s="224">
        <v>9693</v>
      </c>
      <c r="E2564" s="224">
        <v>5.0999999999999996</v>
      </c>
      <c r="F2564" s="224"/>
      <c r="G2564" s="224"/>
      <c r="H2564" s="224"/>
      <c r="I2564" s="224" t="s">
        <v>262</v>
      </c>
      <c r="J2564" s="224"/>
    </row>
    <row r="2565" spans="1:10" s="230" customFormat="1" x14ac:dyDescent="0.25">
      <c r="A2565" s="224">
        <v>352005625</v>
      </c>
      <c r="B2565" s="229" t="s">
        <v>4372</v>
      </c>
      <c r="C2565" s="224">
        <v>225</v>
      </c>
      <c r="D2565" s="224">
        <v>39738</v>
      </c>
      <c r="E2565" s="224">
        <v>7.2</v>
      </c>
      <c r="F2565" s="224"/>
      <c r="G2565" s="224"/>
      <c r="H2565" s="224"/>
      <c r="I2565" s="224" t="s">
        <v>154</v>
      </c>
      <c r="J2565" s="224"/>
    </row>
    <row r="2566" spans="1:10" s="230" customFormat="1" x14ac:dyDescent="0.25">
      <c r="A2566" s="224">
        <v>525010304</v>
      </c>
      <c r="B2566" s="229" t="s">
        <v>5070</v>
      </c>
      <c r="C2566" s="224">
        <v>72.55</v>
      </c>
      <c r="D2566" s="224">
        <v>1312</v>
      </c>
      <c r="E2566" s="224">
        <v>4.5</v>
      </c>
      <c r="F2566" s="224"/>
      <c r="G2566" s="224"/>
      <c r="H2566" s="224"/>
      <c r="I2566" s="224" t="s">
        <v>2398</v>
      </c>
      <c r="J2566" s="224"/>
    </row>
    <row r="2567" spans="1:10" s="230" customFormat="1" x14ac:dyDescent="0.25">
      <c r="A2567" s="224">
        <v>630229798</v>
      </c>
      <c r="B2567" s="229" t="s">
        <v>5071</v>
      </c>
      <c r="C2567" s="224" t="s">
        <v>5072</v>
      </c>
      <c r="D2567" s="224">
        <v>12776</v>
      </c>
      <c r="E2567" s="224">
        <v>7</v>
      </c>
      <c r="F2567" s="224"/>
      <c r="G2567" s="224"/>
      <c r="H2567" s="224"/>
      <c r="I2567" s="224" t="s">
        <v>160</v>
      </c>
      <c r="J2567" s="224"/>
    </row>
    <row r="2568" spans="1:10" s="230" customFormat="1" x14ac:dyDescent="0.25">
      <c r="A2568" s="224">
        <v>352004543</v>
      </c>
      <c r="B2568" s="229" t="s">
        <v>5073</v>
      </c>
      <c r="C2568" s="224">
        <v>115</v>
      </c>
      <c r="D2568" s="224">
        <v>5975</v>
      </c>
      <c r="E2568" s="224">
        <v>6.5</v>
      </c>
      <c r="F2568" s="224"/>
      <c r="G2568" s="224"/>
      <c r="H2568" s="224"/>
      <c r="I2568" s="224" t="s">
        <v>1895</v>
      </c>
      <c r="J2568" s="224"/>
    </row>
    <row r="2569" spans="1:10" s="230" customFormat="1" x14ac:dyDescent="0.25">
      <c r="A2569" s="224">
        <v>373582000</v>
      </c>
      <c r="B2569" s="229" t="s">
        <v>5074</v>
      </c>
      <c r="C2569" s="224">
        <v>219</v>
      </c>
      <c r="D2569" s="224">
        <v>32206</v>
      </c>
      <c r="E2569" s="224">
        <v>10.5</v>
      </c>
      <c r="F2569" s="224"/>
      <c r="G2569" s="224"/>
      <c r="H2569" s="224"/>
      <c r="I2569" s="224" t="s">
        <v>1051</v>
      </c>
      <c r="J2569" s="224"/>
    </row>
    <row r="2570" spans="1:10" s="230" customFormat="1" x14ac:dyDescent="0.25">
      <c r="A2570" s="224">
        <v>477999900</v>
      </c>
      <c r="B2570" s="229" t="s">
        <v>3808</v>
      </c>
      <c r="C2570" s="224" t="s">
        <v>3809</v>
      </c>
      <c r="D2570" s="224">
        <v>88853</v>
      </c>
      <c r="E2570" s="224" t="s">
        <v>3810</v>
      </c>
      <c r="F2570" s="224"/>
      <c r="G2570" s="224"/>
      <c r="H2570" s="224"/>
      <c r="I2570" s="224" t="s">
        <v>273</v>
      </c>
      <c r="J2570" s="224"/>
    </row>
    <row r="2571" spans="1:10" s="230" customFormat="1" x14ac:dyDescent="0.25">
      <c r="A2571" s="224">
        <v>371240000</v>
      </c>
      <c r="B2571" s="229" t="s">
        <v>5075</v>
      </c>
      <c r="C2571" s="224">
        <v>120</v>
      </c>
      <c r="D2571" s="224">
        <v>9593</v>
      </c>
      <c r="E2571" s="224">
        <v>5.5</v>
      </c>
      <c r="F2571" s="224"/>
      <c r="G2571" s="224"/>
      <c r="H2571" s="224"/>
      <c r="I2571" s="224" t="s">
        <v>920</v>
      </c>
      <c r="J2571" s="224"/>
    </row>
    <row r="2572" spans="1:10" s="230" customFormat="1" x14ac:dyDescent="0.25">
      <c r="A2572" s="224">
        <v>563184400</v>
      </c>
      <c r="B2572" s="229" t="s">
        <v>4384</v>
      </c>
      <c r="C2572" s="224">
        <v>215</v>
      </c>
      <c r="D2572" s="224">
        <v>57544</v>
      </c>
      <c r="E2572" s="224">
        <v>11.17</v>
      </c>
      <c r="F2572" s="224"/>
      <c r="G2572" s="224"/>
      <c r="H2572" s="224"/>
      <c r="I2572" s="224" t="s">
        <v>516</v>
      </c>
      <c r="J2572" s="224"/>
    </row>
    <row r="2573" spans="1:10" s="230" customFormat="1" x14ac:dyDescent="0.25">
      <c r="A2573" s="224">
        <v>538009752</v>
      </c>
      <c r="B2573" s="229" t="s">
        <v>5076</v>
      </c>
      <c r="C2573" s="224">
        <v>199</v>
      </c>
      <c r="D2573" s="224">
        <v>34650</v>
      </c>
      <c r="E2573" s="224">
        <v>8.4499999999999993</v>
      </c>
      <c r="F2573" s="224"/>
      <c r="G2573" s="224"/>
      <c r="H2573" s="224"/>
      <c r="I2573" s="224" t="s">
        <v>920</v>
      </c>
      <c r="J2573" s="224"/>
    </row>
    <row r="2574" spans="1:10" s="230" customFormat="1" x14ac:dyDescent="0.25">
      <c r="A2574" s="224">
        <v>525801222</v>
      </c>
      <c r="B2574" s="229" t="s">
        <v>5077</v>
      </c>
      <c r="C2574" s="224" t="s">
        <v>5078</v>
      </c>
      <c r="D2574" s="224" t="s">
        <v>4765</v>
      </c>
      <c r="E2574" s="224" t="s">
        <v>5079</v>
      </c>
      <c r="F2574" s="224"/>
      <c r="G2574" s="224"/>
      <c r="H2574" s="224"/>
      <c r="I2574" s="224" t="s">
        <v>245</v>
      </c>
      <c r="J2574" s="224"/>
    </row>
    <row r="2575" spans="1:10" s="230" customFormat="1" x14ac:dyDescent="0.25">
      <c r="A2575" s="224">
        <v>525601871</v>
      </c>
      <c r="B2575" s="229" t="s">
        <v>5080</v>
      </c>
      <c r="C2575" s="224" t="s">
        <v>920</v>
      </c>
      <c r="D2575" s="224" t="s">
        <v>920</v>
      </c>
      <c r="E2575" s="224" t="s">
        <v>920</v>
      </c>
      <c r="F2575" s="224"/>
      <c r="G2575" s="224"/>
      <c r="H2575" s="224"/>
      <c r="I2575" s="224" t="s">
        <v>1870</v>
      </c>
      <c r="J2575" s="224"/>
    </row>
    <row r="2576" spans="1:10" s="230" customFormat="1" x14ac:dyDescent="0.25">
      <c r="A2576" s="224">
        <v>525100148</v>
      </c>
      <c r="B2576" s="229" t="s">
        <v>4297</v>
      </c>
      <c r="C2576" s="224">
        <v>169.26</v>
      </c>
      <c r="D2576" s="224">
        <v>17935</v>
      </c>
      <c r="E2576" s="224">
        <v>9.6999999999999993</v>
      </c>
      <c r="F2576" s="224"/>
      <c r="G2576" s="224"/>
      <c r="H2576" s="224"/>
      <c r="I2576" s="224" t="s">
        <v>46</v>
      </c>
      <c r="J2576" s="224"/>
    </row>
    <row r="2577" spans="1:10" s="230" customFormat="1" x14ac:dyDescent="0.25">
      <c r="A2577" s="224">
        <v>525119225</v>
      </c>
      <c r="B2577" s="229" t="s">
        <v>5081</v>
      </c>
      <c r="C2577" s="224" t="s">
        <v>5082</v>
      </c>
      <c r="D2577" s="224" t="s">
        <v>4399</v>
      </c>
      <c r="E2577" s="224" t="s">
        <v>2301</v>
      </c>
      <c r="F2577" s="224"/>
      <c r="G2577" s="224"/>
      <c r="H2577" s="224"/>
      <c r="I2577" s="224" t="s">
        <v>1432</v>
      </c>
      <c r="J2577" s="224"/>
    </row>
    <row r="2578" spans="1:10" s="230" customFormat="1" x14ac:dyDescent="0.25">
      <c r="A2578" s="224">
        <v>525300597</v>
      </c>
      <c r="B2578" s="229" t="s">
        <v>5083</v>
      </c>
      <c r="C2578" s="224" t="s">
        <v>1981</v>
      </c>
      <c r="D2578" s="224" t="s">
        <v>3440</v>
      </c>
      <c r="E2578" s="224">
        <v>45780</v>
      </c>
      <c r="F2578" s="224"/>
      <c r="G2578" s="224"/>
      <c r="H2578" s="224"/>
      <c r="I2578" s="224" t="s">
        <v>1432</v>
      </c>
      <c r="J2578" s="224"/>
    </row>
    <row r="2579" spans="1:10" s="230" customFormat="1" x14ac:dyDescent="0.25">
      <c r="A2579" s="224">
        <v>525901620</v>
      </c>
      <c r="B2579" s="229" t="s">
        <v>5084</v>
      </c>
      <c r="C2579" s="224" t="s">
        <v>2313</v>
      </c>
      <c r="D2579" s="224" t="s">
        <v>2488</v>
      </c>
      <c r="E2579" s="224" t="s">
        <v>4251</v>
      </c>
      <c r="F2579" s="224"/>
      <c r="G2579" s="224"/>
      <c r="H2579" s="224"/>
      <c r="I2579" s="224" t="s">
        <v>249</v>
      </c>
      <c r="J2579" s="224"/>
    </row>
    <row r="2580" spans="1:10" s="230" customFormat="1" x14ac:dyDescent="0.25">
      <c r="A2580" s="224">
        <v>525018154</v>
      </c>
      <c r="B2580" s="229" t="s">
        <v>3861</v>
      </c>
      <c r="C2580" s="224">
        <v>49</v>
      </c>
      <c r="D2580" s="224">
        <v>612</v>
      </c>
      <c r="E2580" s="224" t="s">
        <v>1105</v>
      </c>
      <c r="F2580" s="224"/>
      <c r="G2580" s="224"/>
      <c r="H2580" s="224"/>
      <c r="I2580" s="224" t="s">
        <v>3038</v>
      </c>
      <c r="J2580" s="224"/>
    </row>
    <row r="2581" spans="1:10" s="230" customFormat="1" x14ac:dyDescent="0.25">
      <c r="A2581" s="224">
        <v>355438000</v>
      </c>
      <c r="B2581" s="229" t="s">
        <v>5085</v>
      </c>
      <c r="C2581" s="224">
        <v>120</v>
      </c>
      <c r="D2581" s="224">
        <v>9593</v>
      </c>
      <c r="E2581" s="224">
        <v>7</v>
      </c>
      <c r="F2581" s="224"/>
      <c r="G2581" s="224"/>
      <c r="H2581" s="224"/>
      <c r="I2581" s="224" t="s">
        <v>262</v>
      </c>
      <c r="J2581" s="224"/>
    </row>
    <row r="2582" spans="1:10" s="230" customFormat="1" x14ac:dyDescent="0.25">
      <c r="A2582" s="224">
        <v>525601443</v>
      </c>
      <c r="B2582" s="229" t="s">
        <v>5086</v>
      </c>
      <c r="C2582" s="224">
        <v>146</v>
      </c>
      <c r="D2582" s="224">
        <v>5676</v>
      </c>
      <c r="E2582" s="224">
        <v>4.4000000000000004</v>
      </c>
      <c r="F2582" s="224"/>
      <c r="G2582" s="224"/>
      <c r="H2582" s="224"/>
      <c r="I2582" s="224" t="s">
        <v>2304</v>
      </c>
      <c r="J2582" s="224"/>
    </row>
    <row r="2583" spans="1:10" s="230" customFormat="1" x14ac:dyDescent="0.25">
      <c r="A2583" s="224">
        <v>525501965</v>
      </c>
      <c r="B2583" s="229" t="s">
        <v>5087</v>
      </c>
      <c r="C2583" s="224" t="s">
        <v>5088</v>
      </c>
      <c r="D2583" s="224" t="s">
        <v>5089</v>
      </c>
      <c r="E2583" s="224" t="s">
        <v>2549</v>
      </c>
      <c r="F2583" s="224"/>
      <c r="G2583" s="224"/>
      <c r="H2583" s="224"/>
      <c r="I2583" s="224" t="s">
        <v>245</v>
      </c>
      <c r="J2583" s="224"/>
    </row>
    <row r="2584" spans="1:10" s="230" customFormat="1" x14ac:dyDescent="0.25">
      <c r="A2584" s="224">
        <v>525107018</v>
      </c>
      <c r="B2584" s="229" t="s">
        <v>5090</v>
      </c>
      <c r="C2584" s="224">
        <v>124</v>
      </c>
      <c r="D2584" s="224">
        <v>7098</v>
      </c>
      <c r="E2584" s="224">
        <v>7.3</v>
      </c>
      <c r="F2584" s="224"/>
      <c r="G2584" s="224"/>
      <c r="H2584" s="224"/>
      <c r="I2584" s="224" t="s">
        <v>516</v>
      </c>
      <c r="J2584" s="224"/>
    </row>
    <row r="2585" spans="1:10" s="230" customFormat="1" x14ac:dyDescent="0.25">
      <c r="A2585" s="224">
        <v>538007139</v>
      </c>
      <c r="B2585" s="229" t="s">
        <v>5091</v>
      </c>
      <c r="C2585" s="224">
        <v>229</v>
      </c>
      <c r="D2585" s="224">
        <v>4409</v>
      </c>
      <c r="E2585" s="224">
        <v>7.3</v>
      </c>
      <c r="F2585" s="224"/>
      <c r="G2585" s="224"/>
      <c r="H2585" s="224"/>
      <c r="I2585" s="224" t="s">
        <v>1584</v>
      </c>
      <c r="J2585" s="224"/>
    </row>
    <row r="2586" spans="1:10" s="230" customFormat="1" x14ac:dyDescent="0.25">
      <c r="A2586" s="224">
        <v>525901922</v>
      </c>
      <c r="B2586" s="229" t="s">
        <v>4413</v>
      </c>
      <c r="C2586" s="224" t="s">
        <v>251</v>
      </c>
      <c r="D2586" s="224" t="s">
        <v>3835</v>
      </c>
      <c r="E2586" s="224" t="s">
        <v>112</v>
      </c>
      <c r="F2586" s="224"/>
      <c r="G2586" s="224"/>
      <c r="H2586" s="224"/>
      <c r="I2586" s="224" t="s">
        <v>249</v>
      </c>
      <c r="J2586" s="224"/>
    </row>
    <row r="2587" spans="1:10" s="230" customFormat="1" x14ac:dyDescent="0.25">
      <c r="A2587" s="224">
        <v>525501842</v>
      </c>
      <c r="B2587" s="229" t="s">
        <v>5092</v>
      </c>
      <c r="C2587" s="224">
        <v>96</v>
      </c>
      <c r="D2587" s="224">
        <v>3307</v>
      </c>
      <c r="E2587" s="224" t="s">
        <v>133</v>
      </c>
      <c r="F2587" s="224"/>
      <c r="G2587" s="224"/>
      <c r="H2587" s="224"/>
      <c r="I2587" s="224" t="s">
        <v>39</v>
      </c>
      <c r="J2587" s="224"/>
    </row>
    <row r="2588" spans="1:10" s="230" customFormat="1" x14ac:dyDescent="0.25">
      <c r="A2588" s="224">
        <v>525901268</v>
      </c>
      <c r="B2588" s="229" t="s">
        <v>3584</v>
      </c>
      <c r="C2588" s="224" t="s">
        <v>3585</v>
      </c>
      <c r="D2588" s="224" t="s">
        <v>3586</v>
      </c>
      <c r="E2588" s="224" t="s">
        <v>3599</v>
      </c>
      <c r="F2588" s="224"/>
      <c r="G2588" s="224"/>
      <c r="H2588" s="224"/>
      <c r="I2588" s="224" t="s">
        <v>1870</v>
      </c>
      <c r="J2588" s="224"/>
    </row>
    <row r="2589" spans="1:10" s="230" customFormat="1" x14ac:dyDescent="0.25">
      <c r="A2589" s="224">
        <v>525901488</v>
      </c>
      <c r="B2589" s="229" t="s">
        <v>5093</v>
      </c>
      <c r="C2589" s="224">
        <v>70</v>
      </c>
      <c r="D2589" s="224">
        <v>1094</v>
      </c>
      <c r="E2589" s="224">
        <v>3.8</v>
      </c>
      <c r="F2589" s="224"/>
      <c r="G2589" s="224"/>
      <c r="H2589" s="224"/>
      <c r="I2589" s="224" t="s">
        <v>96</v>
      </c>
      <c r="J2589" s="224"/>
    </row>
    <row r="2590" spans="1:10" s="230" customFormat="1" x14ac:dyDescent="0.25">
      <c r="A2590" s="224">
        <v>636024132</v>
      </c>
      <c r="B2590" s="229" t="s">
        <v>5094</v>
      </c>
      <c r="C2590" s="224">
        <v>228.9</v>
      </c>
      <c r="D2590" s="224">
        <v>43247</v>
      </c>
      <c r="E2590" s="224">
        <v>7.5</v>
      </c>
      <c r="F2590" s="224"/>
      <c r="G2590" s="224"/>
      <c r="H2590" s="224"/>
      <c r="I2590" s="224" t="s">
        <v>920</v>
      </c>
      <c r="J2590" s="224"/>
    </row>
    <row r="2591" spans="1:10" s="230" customFormat="1" x14ac:dyDescent="0.25">
      <c r="A2591" s="224">
        <v>525401916</v>
      </c>
      <c r="B2591" s="229" t="s">
        <v>5095</v>
      </c>
      <c r="C2591" s="224" t="s">
        <v>796</v>
      </c>
      <c r="D2591" s="224" t="s">
        <v>4379</v>
      </c>
      <c r="E2591" s="224" t="s">
        <v>5096</v>
      </c>
      <c r="F2591" s="224"/>
      <c r="G2591" s="224"/>
      <c r="H2591" s="224"/>
      <c r="I2591" s="224" t="s">
        <v>920</v>
      </c>
      <c r="J2591" s="224"/>
    </row>
    <row r="2592" spans="1:10" s="230" customFormat="1" x14ac:dyDescent="0.25">
      <c r="A2592" s="224">
        <v>525401965</v>
      </c>
      <c r="B2592" s="229" t="s">
        <v>5097</v>
      </c>
      <c r="C2592" s="224">
        <v>118</v>
      </c>
      <c r="D2592" s="224">
        <v>4761</v>
      </c>
      <c r="E2592" s="224">
        <v>6.9</v>
      </c>
      <c r="F2592" s="224"/>
      <c r="G2592" s="224"/>
      <c r="H2592" s="224"/>
      <c r="I2592" s="224" t="s">
        <v>2398</v>
      </c>
      <c r="J2592" s="224"/>
    </row>
    <row r="2593" spans="1:10" s="230" customFormat="1" x14ac:dyDescent="0.25">
      <c r="A2593" s="224">
        <v>525601616</v>
      </c>
      <c r="B2593" s="229" t="s">
        <v>5098</v>
      </c>
      <c r="C2593" s="224" t="s">
        <v>5099</v>
      </c>
      <c r="D2593" s="224" t="s">
        <v>5100</v>
      </c>
      <c r="E2593" s="224" t="s">
        <v>1503</v>
      </c>
      <c r="F2593" s="224"/>
      <c r="G2593" s="224"/>
      <c r="H2593" s="224"/>
      <c r="I2593" s="224" t="s">
        <v>245</v>
      </c>
      <c r="J2593" s="224"/>
    </row>
    <row r="2594" spans="1:10" s="230" customFormat="1" x14ac:dyDescent="0.25">
      <c r="A2594" s="224">
        <v>525003456</v>
      </c>
      <c r="B2594" s="229" t="s">
        <v>5101</v>
      </c>
      <c r="C2594" s="224" t="s">
        <v>5102</v>
      </c>
      <c r="D2594" s="224" t="s">
        <v>5103</v>
      </c>
      <c r="E2594" s="224" t="s">
        <v>1257</v>
      </c>
      <c r="F2594" s="224"/>
      <c r="G2594" s="224"/>
      <c r="H2594" s="224"/>
      <c r="I2594" s="224" t="s">
        <v>5104</v>
      </c>
      <c r="J2594" s="224"/>
    </row>
    <row r="2595" spans="1:10" s="230" customFormat="1" x14ac:dyDescent="0.25">
      <c r="A2595" s="224">
        <v>255806100</v>
      </c>
      <c r="B2595" s="229" t="s">
        <v>5105</v>
      </c>
      <c r="C2595" s="224">
        <v>180</v>
      </c>
      <c r="D2595" s="224">
        <v>21018</v>
      </c>
      <c r="E2595" s="224">
        <v>7.6</v>
      </c>
      <c r="F2595" s="224"/>
      <c r="G2595" s="224"/>
      <c r="H2595" s="224"/>
      <c r="I2595" s="224" t="s">
        <v>1051</v>
      </c>
      <c r="J2595" s="224"/>
    </row>
    <row r="2596" spans="1:10" s="230" customFormat="1" x14ac:dyDescent="0.25">
      <c r="A2596" s="224">
        <v>525100332</v>
      </c>
      <c r="B2596" s="229" t="s">
        <v>3553</v>
      </c>
      <c r="C2596" s="224" t="s">
        <v>3554</v>
      </c>
      <c r="D2596" s="224" t="s">
        <v>3555</v>
      </c>
      <c r="E2596" s="224" t="s">
        <v>1066</v>
      </c>
      <c r="F2596" s="224"/>
      <c r="G2596" s="224"/>
      <c r="H2596" s="224"/>
      <c r="I2596" s="224" t="s">
        <v>39</v>
      </c>
      <c r="J2596" s="224"/>
    </row>
    <row r="2597" spans="1:10" s="230" customFormat="1" x14ac:dyDescent="0.25">
      <c r="A2597" s="224">
        <v>636020333</v>
      </c>
      <c r="B2597" s="229" t="s">
        <v>5106</v>
      </c>
      <c r="C2597" s="224">
        <v>228.9</v>
      </c>
      <c r="D2597" s="224">
        <v>43672</v>
      </c>
      <c r="E2597" s="224">
        <v>11.07</v>
      </c>
      <c r="F2597" s="224"/>
      <c r="G2597" s="224"/>
      <c r="H2597" s="224"/>
      <c r="I2597" s="224" t="s">
        <v>516</v>
      </c>
      <c r="J2597" s="224"/>
    </row>
    <row r="2598" spans="1:10" s="230" customFormat="1" x14ac:dyDescent="0.25">
      <c r="A2598" s="224">
        <v>636024522</v>
      </c>
      <c r="B2598" s="229" t="s">
        <v>4416</v>
      </c>
      <c r="C2598" s="224">
        <v>179.9</v>
      </c>
      <c r="D2598" s="224">
        <v>23194</v>
      </c>
      <c r="E2598" s="224">
        <v>6.4</v>
      </c>
      <c r="F2598" s="224"/>
      <c r="G2598" s="224"/>
      <c r="H2598" s="224"/>
      <c r="I2598" s="224" t="s">
        <v>45</v>
      </c>
      <c r="J2598" s="224"/>
    </row>
    <row r="2599" spans="1:10" s="230" customFormat="1" x14ac:dyDescent="0.25">
      <c r="A2599" s="224">
        <v>525100599</v>
      </c>
      <c r="B2599" s="229" t="s">
        <v>5107</v>
      </c>
      <c r="C2599" s="224" t="s">
        <v>5108</v>
      </c>
      <c r="D2599" s="224" t="s">
        <v>5109</v>
      </c>
      <c r="E2599" s="224" t="s">
        <v>5110</v>
      </c>
      <c r="F2599" s="224"/>
      <c r="G2599" s="224"/>
      <c r="H2599" s="224"/>
      <c r="I2599" s="224" t="s">
        <v>92</v>
      </c>
      <c r="J2599" s="224"/>
    </row>
    <row r="2600" spans="1:10" s="230" customFormat="1" x14ac:dyDescent="0.25">
      <c r="A2600" s="224">
        <v>372270000</v>
      </c>
      <c r="B2600" s="229" t="s">
        <v>5111</v>
      </c>
      <c r="C2600" s="224">
        <v>229</v>
      </c>
      <c r="D2600" s="224">
        <v>43206</v>
      </c>
      <c r="E2600" s="224">
        <v>7.8</v>
      </c>
      <c r="F2600" s="224"/>
      <c r="G2600" s="224"/>
      <c r="H2600" s="224"/>
      <c r="I2600" s="224" t="s">
        <v>71</v>
      </c>
      <c r="J2600" s="224"/>
    </row>
    <row r="2601" spans="1:10" s="230" customFormat="1" x14ac:dyDescent="0.25">
      <c r="A2601" s="224">
        <v>352005008</v>
      </c>
      <c r="B2601" s="229" t="s">
        <v>5112</v>
      </c>
      <c r="C2601" s="224">
        <v>124</v>
      </c>
      <c r="D2601" s="224">
        <v>8897</v>
      </c>
      <c r="E2601" s="224">
        <v>3.2</v>
      </c>
      <c r="F2601" s="224"/>
      <c r="G2601" s="224"/>
      <c r="H2601" s="224"/>
      <c r="I2601" s="224" t="s">
        <v>262</v>
      </c>
      <c r="J2601" s="224"/>
    </row>
    <row r="2602" spans="1:10" s="230" customFormat="1" x14ac:dyDescent="0.25">
      <c r="A2602" s="224">
        <v>352005807</v>
      </c>
      <c r="B2602" s="229" t="s">
        <v>5113</v>
      </c>
      <c r="C2602" s="224">
        <v>225</v>
      </c>
      <c r="D2602" s="224">
        <v>39974</v>
      </c>
      <c r="E2602" s="224">
        <v>7.2</v>
      </c>
      <c r="F2602" s="224"/>
      <c r="G2602" s="224"/>
      <c r="H2602" s="224"/>
      <c r="I2602" s="224" t="s">
        <v>154</v>
      </c>
      <c r="J2602" s="224"/>
    </row>
    <row r="2603" spans="1:10" s="230" customFormat="1" x14ac:dyDescent="0.25">
      <c r="A2603" s="7">
        <v>563197000</v>
      </c>
      <c r="B2603" s="22" t="s">
        <v>5117</v>
      </c>
      <c r="C2603" s="220">
        <v>99.89</v>
      </c>
      <c r="D2603" s="220">
        <v>2990</v>
      </c>
      <c r="E2603" s="220">
        <v>5.5</v>
      </c>
      <c r="F2603" s="220"/>
      <c r="G2603" s="220"/>
      <c r="H2603" s="220"/>
      <c r="I2603" s="221"/>
      <c r="J2603" s="220"/>
    </row>
    <row r="2604" spans="1:10" s="230" customFormat="1" x14ac:dyDescent="0.25">
      <c r="A2604" s="224">
        <v>525101819</v>
      </c>
      <c r="B2604" s="229" t="s">
        <v>5114</v>
      </c>
      <c r="C2604" s="224">
        <v>100</v>
      </c>
      <c r="D2604" s="224">
        <v>5511</v>
      </c>
      <c r="E2604" s="224">
        <v>4.5</v>
      </c>
      <c r="F2604" s="224"/>
      <c r="G2604" s="224"/>
      <c r="H2604" s="224"/>
      <c r="I2604" s="224" t="s">
        <v>96</v>
      </c>
      <c r="J2604" s="224"/>
    </row>
    <row r="2605" spans="1:10" s="230" customFormat="1" x14ac:dyDescent="0.25">
      <c r="A2605" s="7">
        <v>525110074</v>
      </c>
      <c r="B2605" s="22" t="s">
        <v>5118</v>
      </c>
      <c r="C2605" s="220">
        <v>87</v>
      </c>
      <c r="D2605" s="220">
        <v>3115</v>
      </c>
      <c r="E2605" s="220">
        <v>3.5</v>
      </c>
      <c r="F2605" s="220"/>
      <c r="G2605" s="220"/>
      <c r="H2605" s="220"/>
      <c r="I2605" s="23" t="s">
        <v>1584</v>
      </c>
      <c r="J2605" s="220"/>
    </row>
    <row r="2606" spans="1:10" s="230" customFormat="1" x14ac:dyDescent="0.25">
      <c r="A2606" s="7">
        <v>636023263</v>
      </c>
      <c r="B2606" s="22" t="s">
        <v>5119</v>
      </c>
      <c r="C2606" s="220">
        <v>229</v>
      </c>
      <c r="D2606" s="220">
        <v>43958</v>
      </c>
      <c r="E2606" s="220">
        <v>7.8</v>
      </c>
      <c r="F2606" s="220"/>
      <c r="G2606" s="220"/>
      <c r="H2606" s="220"/>
      <c r="I2606" s="221"/>
      <c r="J2606" s="220"/>
    </row>
    <row r="2607" spans="1:10" s="230" customFormat="1" x14ac:dyDescent="0.25">
      <c r="A2607" s="7">
        <v>352004380</v>
      </c>
      <c r="B2607" s="22" t="s">
        <v>5120</v>
      </c>
      <c r="C2607" s="220">
        <v>139</v>
      </c>
      <c r="D2607" s="220">
        <v>13179</v>
      </c>
      <c r="E2607" s="220">
        <v>5.4</v>
      </c>
      <c r="F2607" s="220"/>
      <c r="G2607" s="220"/>
      <c r="H2607" s="220"/>
      <c r="I2607" s="23" t="s">
        <v>2161</v>
      </c>
      <c r="J2607" s="220"/>
    </row>
    <row r="2608" spans="1:10" s="230" customFormat="1" x14ac:dyDescent="0.25">
      <c r="A2608" s="231">
        <v>525301745</v>
      </c>
      <c r="B2608" s="232" t="s">
        <v>5135</v>
      </c>
      <c r="C2608" s="220" t="s">
        <v>1164</v>
      </c>
      <c r="D2608" s="220" t="s">
        <v>2479</v>
      </c>
      <c r="E2608" s="220" t="s">
        <v>711</v>
      </c>
      <c r="F2608" s="220"/>
      <c r="G2608" s="220"/>
      <c r="H2608" s="220"/>
      <c r="I2608" s="221"/>
      <c r="J2608" s="220"/>
    </row>
    <row r="2609" spans="1:10" s="230" customFormat="1" x14ac:dyDescent="0.25">
      <c r="A2609" s="7">
        <v>413464980</v>
      </c>
      <c r="B2609" s="22" t="s">
        <v>5136</v>
      </c>
      <c r="C2609" s="220">
        <v>120</v>
      </c>
      <c r="D2609" s="220">
        <v>5614</v>
      </c>
      <c r="E2609" s="220">
        <v>5</v>
      </c>
      <c r="F2609" s="220"/>
      <c r="G2609" s="220"/>
      <c r="H2609" s="220"/>
      <c r="I2609" s="23" t="s">
        <v>1895</v>
      </c>
      <c r="J2609" s="220"/>
    </row>
    <row r="2610" spans="1:10" s="230" customFormat="1" x14ac:dyDescent="0.25">
      <c r="A2610" s="7">
        <v>563081200</v>
      </c>
      <c r="B2610" s="22" t="s">
        <v>5138</v>
      </c>
      <c r="C2610" s="220">
        <v>228.9</v>
      </c>
      <c r="D2610" s="220">
        <v>43206</v>
      </c>
      <c r="E2610" s="220">
        <v>8.4</v>
      </c>
      <c r="F2610" s="220"/>
      <c r="G2610" s="220"/>
      <c r="H2610" s="220"/>
      <c r="I2610" s="221"/>
      <c r="J2610" s="220"/>
    </row>
    <row r="2611" spans="1:10" s="230" customFormat="1" x14ac:dyDescent="0.25">
      <c r="A2611" s="233">
        <v>352773000</v>
      </c>
      <c r="B2611" s="22" t="s">
        <v>5137</v>
      </c>
      <c r="C2611" s="10">
        <v>153</v>
      </c>
      <c r="D2611" s="10">
        <v>14021</v>
      </c>
      <c r="E2611" s="10">
        <v>6.8</v>
      </c>
      <c r="F2611" s="10"/>
      <c r="G2611" s="10"/>
      <c r="H2611" s="10"/>
      <c r="I2611" s="23" t="s">
        <v>262</v>
      </c>
      <c r="J2611" s="220"/>
    </row>
    <row r="2612" spans="1:10" s="230" customFormat="1" x14ac:dyDescent="0.25">
      <c r="A2612" s="7">
        <v>567552000</v>
      </c>
      <c r="B2612" s="22" t="s">
        <v>5142</v>
      </c>
      <c r="C2612" s="220">
        <v>128</v>
      </c>
      <c r="D2612" s="220">
        <v>8506</v>
      </c>
      <c r="E2612" s="10" t="s">
        <v>178</v>
      </c>
      <c r="F2612" s="220"/>
      <c r="G2612" s="220"/>
      <c r="H2612" s="220"/>
      <c r="I2612" s="23" t="s">
        <v>2096</v>
      </c>
      <c r="J2612" s="220"/>
    </row>
    <row r="2613" spans="1:10" s="230" customFormat="1" x14ac:dyDescent="0.25">
      <c r="A2613" s="7">
        <v>229201000</v>
      </c>
      <c r="B2613" s="22" t="s">
        <v>5143</v>
      </c>
      <c r="C2613" s="220">
        <v>186</v>
      </c>
      <c r="D2613" s="220">
        <v>2279</v>
      </c>
      <c r="E2613" s="10" t="s">
        <v>141</v>
      </c>
      <c r="F2613" s="220"/>
      <c r="G2613" s="220"/>
      <c r="H2613" s="220"/>
      <c r="I2613" s="23" t="s">
        <v>71</v>
      </c>
      <c r="J2613" s="220"/>
    </row>
    <row r="2614" spans="1:10" s="230" customFormat="1" x14ac:dyDescent="0.25">
      <c r="A2614" s="7">
        <v>525201257</v>
      </c>
      <c r="B2614" s="22" t="s">
        <v>5144</v>
      </c>
      <c r="C2614" s="220">
        <v>39</v>
      </c>
      <c r="D2614" s="220">
        <v>207</v>
      </c>
      <c r="E2614" s="220">
        <v>1.8</v>
      </c>
      <c r="F2614" s="220"/>
      <c r="G2614" s="220"/>
      <c r="H2614" s="220"/>
      <c r="I2614" s="23" t="s">
        <v>260</v>
      </c>
      <c r="J2614" s="220"/>
    </row>
    <row r="2615" spans="1:10" s="230" customFormat="1" x14ac:dyDescent="0.25">
      <c r="A2615" s="7">
        <v>352002524</v>
      </c>
      <c r="B2615" s="22" t="s">
        <v>5145</v>
      </c>
      <c r="C2615" s="220">
        <v>185</v>
      </c>
      <c r="D2615" s="220">
        <v>26010</v>
      </c>
      <c r="E2615" s="220">
        <v>4.9000000000000004</v>
      </c>
      <c r="F2615" s="220"/>
      <c r="G2615" s="220"/>
      <c r="H2615" s="220"/>
      <c r="I2615" s="221"/>
      <c r="J2615" s="220"/>
    </row>
    <row r="2616" spans="1:10" s="230" customFormat="1" x14ac:dyDescent="0.25">
      <c r="A2616" s="234">
        <v>533130716</v>
      </c>
      <c r="B2616" s="22" t="s">
        <v>5146</v>
      </c>
      <c r="C2616" s="220">
        <v>106</v>
      </c>
      <c r="D2616" s="220">
        <v>4268</v>
      </c>
      <c r="E2616" s="220">
        <v>4.2</v>
      </c>
      <c r="F2616" s="220"/>
      <c r="G2616" s="220"/>
      <c r="H2616" s="220"/>
      <c r="I2616" s="221"/>
      <c r="J2616" s="220"/>
    </row>
    <row r="2617" spans="1:10" s="230" customFormat="1" x14ac:dyDescent="0.25">
      <c r="A2617" s="7">
        <v>566926000</v>
      </c>
      <c r="B2617" s="22" t="s">
        <v>5147</v>
      </c>
      <c r="C2617" s="220">
        <v>190</v>
      </c>
      <c r="D2617" s="220">
        <v>31279</v>
      </c>
      <c r="E2617" s="220">
        <v>6.8</v>
      </c>
      <c r="F2617" s="220"/>
      <c r="G2617" s="220"/>
      <c r="H2617" s="220"/>
      <c r="I2617" s="221"/>
      <c r="J2617" s="220"/>
    </row>
    <row r="2618" spans="1:10" s="230" customFormat="1" x14ac:dyDescent="0.25">
      <c r="A2618" s="234">
        <v>525003110</v>
      </c>
      <c r="B2618" s="22" t="s">
        <v>5148</v>
      </c>
      <c r="C2618" s="10">
        <v>53.78</v>
      </c>
      <c r="D2618" s="10">
        <v>694</v>
      </c>
      <c r="E2618" s="10">
        <v>4</v>
      </c>
      <c r="F2618" s="220"/>
      <c r="G2618" s="220"/>
      <c r="H2618" s="220"/>
      <c r="I2618" s="221"/>
      <c r="J2618" s="220"/>
    </row>
    <row r="2619" spans="1:10" s="230" customFormat="1" x14ac:dyDescent="0.25">
      <c r="A2619" s="234">
        <v>563207100</v>
      </c>
      <c r="B2619" s="22" t="s">
        <v>5149</v>
      </c>
      <c r="C2619" s="220">
        <v>229</v>
      </c>
      <c r="D2619" s="220">
        <v>43022</v>
      </c>
      <c r="E2619" s="220">
        <v>14.4</v>
      </c>
      <c r="F2619" s="220"/>
      <c r="G2619" s="220"/>
      <c r="H2619" s="220"/>
      <c r="I2619" s="221"/>
      <c r="J2619" s="220"/>
    </row>
    <row r="2620" spans="1:10" s="230" customFormat="1" x14ac:dyDescent="0.25">
      <c r="A2620" s="21">
        <v>525901243</v>
      </c>
      <c r="B2620" s="22" t="s">
        <v>5151</v>
      </c>
      <c r="C2620" s="10" t="s">
        <v>464</v>
      </c>
      <c r="D2620" s="10" t="s">
        <v>5150</v>
      </c>
      <c r="E2620" s="10" t="s">
        <v>3368</v>
      </c>
      <c r="F2620" s="10"/>
      <c r="G2620" s="10"/>
      <c r="H2620" s="10"/>
      <c r="I2620" s="23" t="s">
        <v>41</v>
      </c>
      <c r="J2620" s="220"/>
    </row>
    <row r="2621" spans="1:10" s="230" customFormat="1" x14ac:dyDescent="0.25">
      <c r="A2621" s="231">
        <v>373428000</v>
      </c>
      <c r="B2621" s="22" t="s">
        <v>5152</v>
      </c>
      <c r="C2621" s="220">
        <v>128</v>
      </c>
      <c r="D2621" s="220">
        <v>8638</v>
      </c>
      <c r="E2621" s="220">
        <v>6</v>
      </c>
      <c r="F2621" s="220"/>
      <c r="G2621" s="220"/>
      <c r="H2621" s="220"/>
      <c r="I2621" s="23" t="s">
        <v>160</v>
      </c>
      <c r="J2621" s="220"/>
    </row>
    <row r="2622" spans="1:10" s="230" customFormat="1" x14ac:dyDescent="0.25">
      <c r="A2622" s="7">
        <v>566603000</v>
      </c>
      <c r="B2622" s="22" t="s">
        <v>5153</v>
      </c>
      <c r="C2622" s="220">
        <v>180</v>
      </c>
      <c r="D2622" s="220">
        <v>21317</v>
      </c>
      <c r="E2622" s="220">
        <v>11.02</v>
      </c>
      <c r="F2622" s="220"/>
      <c r="G2622" s="220"/>
      <c r="H2622" s="220"/>
      <c r="I2622" s="221"/>
      <c r="J2622" s="220"/>
    </row>
    <row r="2623" spans="1:10" s="230" customFormat="1" x14ac:dyDescent="0.25">
      <c r="A2623" s="231">
        <v>538010072</v>
      </c>
      <c r="B2623" s="22" t="s">
        <v>5246</v>
      </c>
      <c r="C2623" s="220">
        <v>158</v>
      </c>
      <c r="D2623" s="220">
        <v>15839</v>
      </c>
      <c r="E2623" s="10" t="s">
        <v>5158</v>
      </c>
      <c r="F2623" s="220"/>
      <c r="G2623" s="220"/>
      <c r="H2623" s="220"/>
      <c r="I2623" s="23" t="s">
        <v>817</v>
      </c>
      <c r="J2623" s="220"/>
    </row>
    <row r="2624" spans="1:10" s="230" customFormat="1" x14ac:dyDescent="0.25">
      <c r="A2624" s="7">
        <v>525021151</v>
      </c>
      <c r="B2624" s="22" t="s">
        <v>5154</v>
      </c>
      <c r="C2624" s="10" t="s">
        <v>5155</v>
      </c>
      <c r="D2624" s="10" t="s">
        <v>5156</v>
      </c>
      <c r="E2624" s="10" t="s">
        <v>5157</v>
      </c>
      <c r="F2624" s="220"/>
      <c r="G2624" s="220"/>
      <c r="H2624" s="220"/>
      <c r="I2624" s="221"/>
      <c r="J2624" s="220"/>
    </row>
    <row r="2625" spans="1:10" s="230" customFormat="1" x14ac:dyDescent="0.25">
      <c r="A2625" s="231">
        <v>412602000</v>
      </c>
      <c r="B2625" s="22" t="s">
        <v>5245</v>
      </c>
      <c r="C2625" s="220">
        <v>190</v>
      </c>
      <c r="D2625" s="220">
        <v>32911</v>
      </c>
      <c r="E2625" s="220">
        <v>7.37</v>
      </c>
      <c r="F2625" s="220"/>
      <c r="G2625" s="220"/>
      <c r="H2625" s="220"/>
      <c r="I2625" s="23" t="s">
        <v>154</v>
      </c>
      <c r="J2625" s="220"/>
    </row>
    <row r="2626" spans="1:10" s="230" customFormat="1" x14ac:dyDescent="0.25">
      <c r="A2626" s="21">
        <v>538010111</v>
      </c>
      <c r="B2626" s="22" t="s">
        <v>5159</v>
      </c>
      <c r="C2626" s="10" t="s">
        <v>1645</v>
      </c>
      <c r="D2626" s="10">
        <v>29990</v>
      </c>
      <c r="E2626" s="10" t="s">
        <v>1857</v>
      </c>
      <c r="F2626" s="10"/>
      <c r="G2626" s="10"/>
      <c r="H2626" s="10"/>
      <c r="I2626" s="23" t="s">
        <v>1534</v>
      </c>
      <c r="J2626" s="220"/>
    </row>
    <row r="2627" spans="1:10" s="230" customFormat="1" x14ac:dyDescent="0.25">
      <c r="A2627" s="7">
        <v>525020380</v>
      </c>
      <c r="B2627" s="22" t="s">
        <v>5160</v>
      </c>
      <c r="C2627" s="220">
        <v>53.8</v>
      </c>
      <c r="D2627" s="220">
        <v>612</v>
      </c>
      <c r="E2627" s="220">
        <v>4.0999999999999996</v>
      </c>
      <c r="F2627" s="220"/>
      <c r="G2627" s="220"/>
      <c r="H2627" s="220"/>
      <c r="I2627" s="23" t="s">
        <v>1448</v>
      </c>
      <c r="J2627" s="220"/>
    </row>
    <row r="2628" spans="1:10" s="230" customFormat="1" x14ac:dyDescent="0.25">
      <c r="A2628" s="231">
        <v>352005467</v>
      </c>
      <c r="B2628" s="22" t="s">
        <v>5161</v>
      </c>
      <c r="C2628" s="220">
        <v>176</v>
      </c>
      <c r="D2628" s="220">
        <v>25087</v>
      </c>
      <c r="E2628" s="220">
        <v>7.5</v>
      </c>
      <c r="F2628" s="220"/>
      <c r="G2628" s="220"/>
      <c r="H2628" s="220"/>
      <c r="I2628" s="23" t="s">
        <v>160</v>
      </c>
      <c r="J2628" s="220"/>
    </row>
    <row r="2629" spans="1:10" s="230" customFormat="1" x14ac:dyDescent="0.25">
      <c r="A2629" s="7">
        <v>212090000</v>
      </c>
      <c r="B2629" s="22" t="s">
        <v>5163</v>
      </c>
      <c r="C2629" s="220">
        <v>229</v>
      </c>
      <c r="D2629" s="220">
        <v>43753</v>
      </c>
      <c r="E2629" s="220">
        <v>11.9</v>
      </c>
      <c r="F2629" s="220"/>
      <c r="G2629" s="220"/>
      <c r="H2629" s="220"/>
      <c r="I2629" s="23" t="s">
        <v>2161</v>
      </c>
      <c r="J2629" s="220"/>
    </row>
    <row r="2630" spans="1:10" s="230" customFormat="1" x14ac:dyDescent="0.25">
      <c r="A2630" s="7">
        <v>525300388</v>
      </c>
      <c r="B2630" s="22" t="s">
        <v>5164</v>
      </c>
      <c r="C2630" s="10" t="s">
        <v>1164</v>
      </c>
      <c r="D2630" s="10" t="s">
        <v>5165</v>
      </c>
      <c r="E2630" s="10" t="s">
        <v>4237</v>
      </c>
      <c r="F2630" s="220"/>
      <c r="G2630" s="220"/>
      <c r="H2630" s="220"/>
      <c r="I2630" s="23" t="s">
        <v>2002</v>
      </c>
      <c r="J2630" s="220"/>
    </row>
    <row r="2631" spans="1:10" s="230" customFormat="1" x14ac:dyDescent="0.25">
      <c r="A2631" s="7">
        <v>538009420</v>
      </c>
      <c r="B2631" s="22" t="s">
        <v>5166</v>
      </c>
      <c r="C2631" s="10">
        <v>117</v>
      </c>
      <c r="D2631" s="10">
        <v>19885</v>
      </c>
      <c r="E2631" s="10">
        <v>6.21</v>
      </c>
      <c r="F2631" s="220"/>
      <c r="G2631" s="220"/>
      <c r="H2631" s="220"/>
      <c r="I2631" s="23"/>
      <c r="J2631" s="220"/>
    </row>
    <row r="2632" spans="1:10" s="230" customFormat="1" x14ac:dyDescent="0.25">
      <c r="A2632" s="7">
        <v>636025651</v>
      </c>
      <c r="B2632" s="22" t="s">
        <v>5168</v>
      </c>
      <c r="C2632" s="220">
        <v>199</v>
      </c>
      <c r="D2632" s="220">
        <v>36108</v>
      </c>
      <c r="E2632" s="220">
        <v>9.8000000000000007</v>
      </c>
      <c r="F2632" s="220"/>
      <c r="G2632" s="220"/>
      <c r="H2632" s="220"/>
      <c r="I2632" s="23" t="s">
        <v>591</v>
      </c>
      <c r="J2632" s="220"/>
    </row>
    <row r="2633" spans="1:10" s="230" customFormat="1" x14ac:dyDescent="0.25">
      <c r="A2633" s="21">
        <v>563266600</v>
      </c>
      <c r="B2633" s="22" t="s">
        <v>5169</v>
      </c>
      <c r="C2633" s="10">
        <v>183</v>
      </c>
      <c r="D2633" s="10">
        <v>24392</v>
      </c>
      <c r="E2633" s="10">
        <v>10.4</v>
      </c>
      <c r="F2633" s="10"/>
      <c r="G2633" s="10"/>
      <c r="H2633" s="10"/>
      <c r="I2633" s="23" t="s">
        <v>71</v>
      </c>
      <c r="J2633" s="220"/>
    </row>
    <row r="2634" spans="1:10" s="230" customFormat="1" x14ac:dyDescent="0.25">
      <c r="A2634" s="21">
        <v>525901948</v>
      </c>
      <c r="B2634" s="22" t="s">
        <v>5170</v>
      </c>
      <c r="C2634" s="10" t="s">
        <v>5171</v>
      </c>
      <c r="D2634" s="10" t="s">
        <v>5172</v>
      </c>
      <c r="E2634" s="10" t="s">
        <v>4069</v>
      </c>
      <c r="F2634" s="10"/>
      <c r="G2634" s="10"/>
      <c r="H2634" s="10"/>
      <c r="I2634" s="23" t="s">
        <v>1432</v>
      </c>
      <c r="J2634" s="220"/>
    </row>
    <row r="2635" spans="1:10" s="230" customFormat="1" x14ac:dyDescent="0.25">
      <c r="A2635" s="7">
        <v>636022307</v>
      </c>
      <c r="B2635" s="22" t="s">
        <v>5173</v>
      </c>
      <c r="C2635" s="220">
        <v>214</v>
      </c>
      <c r="D2635" s="220">
        <v>32161</v>
      </c>
      <c r="E2635" s="220">
        <v>8.1</v>
      </c>
      <c r="F2635" s="220"/>
      <c r="G2635" s="220"/>
      <c r="H2635" s="220"/>
      <c r="I2635" s="23" t="s">
        <v>71</v>
      </c>
      <c r="J2635" s="220"/>
    </row>
    <row r="2636" spans="1:10" s="230" customFormat="1" x14ac:dyDescent="0.25">
      <c r="A2636" s="7">
        <v>413494900</v>
      </c>
      <c r="B2636" s="22" t="s">
        <v>5174</v>
      </c>
      <c r="C2636" s="220">
        <v>153</v>
      </c>
      <c r="D2636" s="220">
        <v>14021</v>
      </c>
      <c r="E2636" s="220">
        <v>6.3</v>
      </c>
      <c r="F2636" s="220"/>
      <c r="G2636" s="220"/>
      <c r="H2636" s="220"/>
      <c r="I2636" s="221"/>
      <c r="J2636" s="220"/>
    </row>
    <row r="2637" spans="1:10" s="230" customFormat="1" x14ac:dyDescent="0.25">
      <c r="A2637" s="7">
        <v>525018075</v>
      </c>
      <c r="B2637" s="22" t="s">
        <v>5175</v>
      </c>
      <c r="C2637" s="10" t="s">
        <v>5176</v>
      </c>
      <c r="D2637" s="10" t="s">
        <v>5177</v>
      </c>
      <c r="E2637" s="220">
        <v>2.9</v>
      </c>
      <c r="F2637" s="220"/>
      <c r="G2637" s="220"/>
      <c r="H2637" s="220"/>
      <c r="I2637" s="221"/>
      <c r="J2637" s="220"/>
    </row>
    <row r="2638" spans="1:10" s="230" customFormat="1" x14ac:dyDescent="0.25">
      <c r="A2638" s="7">
        <v>525012245</v>
      </c>
      <c r="B2638" s="22" t="s">
        <v>5178</v>
      </c>
      <c r="C2638" s="220">
        <v>75</v>
      </c>
      <c r="D2638" s="220">
        <v>314</v>
      </c>
      <c r="E2638" s="220">
        <v>1.5</v>
      </c>
      <c r="F2638" s="220"/>
      <c r="G2638" s="220"/>
      <c r="H2638" s="220"/>
      <c r="I2638" s="23" t="s">
        <v>1432</v>
      </c>
      <c r="J2638" s="220"/>
    </row>
    <row r="2639" spans="1:10" s="230" customFormat="1" x14ac:dyDescent="0.25">
      <c r="A2639" s="7">
        <v>525012361</v>
      </c>
      <c r="B2639" s="22" t="s">
        <v>5179</v>
      </c>
      <c r="C2639" s="10" t="s">
        <v>5180</v>
      </c>
      <c r="D2639" s="10" t="s">
        <v>5181</v>
      </c>
      <c r="E2639" s="10" t="s">
        <v>4978</v>
      </c>
      <c r="F2639" s="220"/>
      <c r="G2639" s="220"/>
      <c r="H2639" s="220"/>
      <c r="I2639" s="23" t="s">
        <v>39</v>
      </c>
      <c r="J2639" s="220"/>
    </row>
    <row r="2640" spans="1:10" s="230" customFormat="1" x14ac:dyDescent="0.25">
      <c r="A2640" s="7">
        <v>525100185</v>
      </c>
      <c r="B2640" s="22" t="s">
        <v>5182</v>
      </c>
      <c r="C2640" s="220">
        <v>73</v>
      </c>
      <c r="D2640" s="220">
        <v>1188</v>
      </c>
      <c r="E2640" s="220">
        <v>3.9</v>
      </c>
      <c r="F2640" s="220"/>
      <c r="G2640" s="220"/>
      <c r="H2640" s="220"/>
      <c r="I2640" s="221"/>
      <c r="J2640" s="220"/>
    </row>
    <row r="2641" spans="1:10" s="230" customFormat="1" x14ac:dyDescent="0.25">
      <c r="A2641" s="21">
        <v>413494940</v>
      </c>
      <c r="B2641" s="22" t="s">
        <v>5183</v>
      </c>
      <c r="C2641" s="10">
        <v>153</v>
      </c>
      <c r="D2641" s="10">
        <v>14021</v>
      </c>
      <c r="E2641" s="10">
        <v>6.7</v>
      </c>
      <c r="F2641" s="10"/>
      <c r="G2641" s="10"/>
      <c r="H2641" s="10"/>
      <c r="I2641" s="23" t="s">
        <v>262</v>
      </c>
      <c r="J2641" s="220"/>
    </row>
    <row r="2642" spans="1:10" s="230" customFormat="1" x14ac:dyDescent="0.25">
      <c r="A2642" s="7">
        <v>477852900</v>
      </c>
      <c r="B2642" s="22" t="s">
        <v>5184</v>
      </c>
      <c r="C2642" s="220">
        <v>180</v>
      </c>
      <c r="D2642" s="220">
        <v>20867</v>
      </c>
      <c r="E2642" s="220">
        <v>6.1</v>
      </c>
      <c r="F2642" s="220"/>
      <c r="G2642" s="220"/>
      <c r="H2642" s="220"/>
      <c r="I2642" s="221"/>
      <c r="J2642" s="220"/>
    </row>
    <row r="2643" spans="1:10" s="230" customFormat="1" x14ac:dyDescent="0.25">
      <c r="A2643" s="7">
        <v>525021217</v>
      </c>
      <c r="B2643" s="22" t="s">
        <v>5185</v>
      </c>
      <c r="C2643" s="220">
        <v>75</v>
      </c>
      <c r="D2643" s="220">
        <v>1002</v>
      </c>
      <c r="E2643" s="220">
        <v>5.2</v>
      </c>
      <c r="F2643" s="220"/>
      <c r="G2643" s="220"/>
      <c r="H2643" s="220"/>
      <c r="I2643" s="221"/>
      <c r="J2643" s="220"/>
    </row>
    <row r="2644" spans="1:10" s="230" customFormat="1" x14ac:dyDescent="0.25">
      <c r="A2644" s="7">
        <v>525201273</v>
      </c>
      <c r="B2644" s="22" t="s">
        <v>5186</v>
      </c>
      <c r="C2644" s="220">
        <v>96</v>
      </c>
      <c r="D2644" s="220">
        <v>2997</v>
      </c>
      <c r="E2644" s="220">
        <v>5.5</v>
      </c>
      <c r="F2644" s="220"/>
      <c r="G2644" s="220"/>
      <c r="H2644" s="220"/>
      <c r="I2644" s="221"/>
      <c r="J2644" s="220"/>
    </row>
    <row r="2645" spans="1:10" s="230" customFormat="1" x14ac:dyDescent="0.25">
      <c r="A2645" s="7">
        <v>636024415</v>
      </c>
      <c r="B2645" s="22" t="s">
        <v>5187</v>
      </c>
      <c r="C2645" s="220">
        <v>260</v>
      </c>
      <c r="D2645" s="220">
        <v>39941</v>
      </c>
      <c r="E2645" s="220">
        <v>8.5</v>
      </c>
      <c r="F2645" s="220"/>
      <c r="G2645" s="220"/>
      <c r="H2645" s="220"/>
      <c r="I2645" s="221"/>
      <c r="J2645" s="220"/>
    </row>
    <row r="2646" spans="1:10" s="230" customFormat="1" x14ac:dyDescent="0.25">
      <c r="A2646" s="7">
        <v>636022071</v>
      </c>
      <c r="B2646" s="22" t="s">
        <v>5188</v>
      </c>
      <c r="C2646" s="220">
        <v>150</v>
      </c>
      <c r="D2646" s="220">
        <v>12320</v>
      </c>
      <c r="E2646" s="220">
        <v>7.9</v>
      </c>
      <c r="F2646" s="220"/>
      <c r="G2646" s="220"/>
      <c r="H2646" s="220"/>
      <c r="I2646" s="221"/>
      <c r="J2646" s="220"/>
    </row>
    <row r="2647" spans="1:10" s="230" customFormat="1" x14ac:dyDescent="0.25">
      <c r="A2647" s="7">
        <v>525801686</v>
      </c>
      <c r="B2647" s="22" t="s">
        <v>5189</v>
      </c>
      <c r="C2647" s="10" t="s">
        <v>251</v>
      </c>
      <c r="D2647" s="10" t="s">
        <v>5190</v>
      </c>
      <c r="E2647" s="10" t="s">
        <v>243</v>
      </c>
      <c r="F2647" s="220"/>
      <c r="G2647" s="220"/>
      <c r="H2647" s="220"/>
      <c r="I2647" s="23" t="s">
        <v>46</v>
      </c>
      <c r="J2647" s="220"/>
    </row>
    <row r="2648" spans="1:10" s="230" customFormat="1" x14ac:dyDescent="0.25">
      <c r="A2648" s="7">
        <v>525121028</v>
      </c>
      <c r="B2648" s="22" t="s">
        <v>5191</v>
      </c>
      <c r="C2648" s="220">
        <v>106</v>
      </c>
      <c r="D2648" s="220">
        <v>4485</v>
      </c>
      <c r="E2648" s="220">
        <v>4.5</v>
      </c>
      <c r="F2648" s="220"/>
      <c r="G2648" s="220"/>
      <c r="H2648" s="220"/>
      <c r="I2648" s="23" t="s">
        <v>96</v>
      </c>
      <c r="J2648" s="220"/>
    </row>
    <row r="2649" spans="1:10" s="230" customFormat="1" x14ac:dyDescent="0.25">
      <c r="A2649" s="7">
        <v>525004918</v>
      </c>
      <c r="B2649" s="22" t="s">
        <v>5192</v>
      </c>
      <c r="C2649" s="10" t="s">
        <v>5193</v>
      </c>
      <c r="D2649" s="10" t="s">
        <v>5194</v>
      </c>
      <c r="E2649" s="10"/>
      <c r="F2649" s="10"/>
      <c r="G2649" s="10"/>
      <c r="H2649" s="10"/>
      <c r="I2649" s="23" t="s">
        <v>41</v>
      </c>
      <c r="J2649" s="10"/>
    </row>
    <row r="2650" spans="1:10" s="230" customFormat="1" x14ac:dyDescent="0.25">
      <c r="A2650" s="7">
        <v>525500025</v>
      </c>
      <c r="B2650" s="22" t="s">
        <v>5196</v>
      </c>
      <c r="C2650" s="10" t="s">
        <v>79</v>
      </c>
      <c r="D2650" s="10" t="s">
        <v>79</v>
      </c>
      <c r="E2650" s="10" t="s">
        <v>79</v>
      </c>
      <c r="F2650" s="10"/>
      <c r="G2650" s="10"/>
      <c r="H2650" s="10"/>
      <c r="I2650" s="23"/>
      <c r="J2650" s="10"/>
    </row>
    <row r="2651" spans="1:10" s="230" customFormat="1" x14ac:dyDescent="0.25">
      <c r="A2651" s="7">
        <v>538011683</v>
      </c>
      <c r="B2651" s="22" t="s">
        <v>5197</v>
      </c>
      <c r="C2651" s="238">
        <v>183</v>
      </c>
      <c r="D2651" s="238">
        <v>28640</v>
      </c>
      <c r="E2651" s="238">
        <v>13.1</v>
      </c>
      <c r="F2651" s="238"/>
      <c r="G2651" s="238"/>
      <c r="H2651" s="238"/>
      <c r="I2651" s="239"/>
      <c r="J2651" s="238"/>
    </row>
    <row r="2652" spans="1:10" s="230" customFormat="1" x14ac:dyDescent="0.25">
      <c r="A2652" s="7">
        <v>525200523</v>
      </c>
      <c r="B2652" s="22" t="s">
        <v>5198</v>
      </c>
      <c r="C2652" s="238">
        <v>80</v>
      </c>
      <c r="D2652" s="238">
        <v>1966</v>
      </c>
      <c r="E2652" s="238">
        <v>3.1</v>
      </c>
      <c r="F2652" s="238"/>
      <c r="G2652" s="238"/>
      <c r="H2652" s="238"/>
      <c r="I2652" s="239"/>
      <c r="J2652" s="238"/>
    </row>
    <row r="2653" spans="1:10" s="230" customFormat="1" x14ac:dyDescent="0.25">
      <c r="A2653" s="7">
        <v>525003292</v>
      </c>
      <c r="B2653" s="22" t="s">
        <v>5199</v>
      </c>
      <c r="C2653" s="10" t="s">
        <v>5200</v>
      </c>
      <c r="D2653" s="10" t="s">
        <v>5202</v>
      </c>
      <c r="E2653" s="10" t="s">
        <v>5201</v>
      </c>
      <c r="F2653" s="238"/>
      <c r="G2653" s="238"/>
      <c r="H2653" s="238"/>
      <c r="I2653" s="239"/>
      <c r="J2653" s="238"/>
    </row>
    <row r="2654" spans="1:10" s="230" customFormat="1" x14ac:dyDescent="0.25">
      <c r="A2654" s="240">
        <v>525901367</v>
      </c>
      <c r="B2654" s="22" t="s">
        <v>5223</v>
      </c>
      <c r="C2654" s="10" t="s">
        <v>5224</v>
      </c>
      <c r="D2654" s="10" t="s">
        <v>5225</v>
      </c>
      <c r="E2654" s="10" t="s">
        <v>5226</v>
      </c>
      <c r="F2654" s="10"/>
      <c r="G2654" s="10"/>
      <c r="H2654" s="10"/>
      <c r="I2654" s="23" t="s">
        <v>245</v>
      </c>
      <c r="J2654" s="238"/>
    </row>
    <row r="2655" spans="1:10" s="230" customFormat="1" x14ac:dyDescent="0.25">
      <c r="A2655" s="7">
        <v>525603456</v>
      </c>
      <c r="B2655" s="22" t="s">
        <v>5227</v>
      </c>
      <c r="C2655" s="238"/>
      <c r="D2655" s="238"/>
      <c r="E2655" s="238"/>
      <c r="F2655" s="238"/>
      <c r="G2655" s="238"/>
      <c r="H2655" s="238"/>
      <c r="I2655" s="239"/>
      <c r="J2655" s="238"/>
    </row>
    <row r="2656" spans="1:10" s="230" customFormat="1" x14ac:dyDescent="0.25">
      <c r="A2656" s="7">
        <v>525900710</v>
      </c>
      <c r="B2656" s="22" t="s">
        <v>5228</v>
      </c>
      <c r="C2656" s="10" t="s">
        <v>5229</v>
      </c>
      <c r="D2656" s="10" t="s">
        <v>1314</v>
      </c>
      <c r="E2656" s="10" t="s">
        <v>1195</v>
      </c>
      <c r="F2656" s="10"/>
      <c r="G2656" s="10"/>
      <c r="H2656" s="10"/>
      <c r="I2656" s="23" t="s">
        <v>41</v>
      </c>
      <c r="J2656" s="238"/>
    </row>
    <row r="2657" spans="1:10" s="230" customFormat="1" x14ac:dyDescent="0.25">
      <c r="A2657" s="7">
        <v>538012349</v>
      </c>
      <c r="B2657" s="22" t="s">
        <v>5230</v>
      </c>
      <c r="C2657" s="10">
        <v>183</v>
      </c>
      <c r="D2657" s="10">
        <v>33355</v>
      </c>
      <c r="E2657" s="10">
        <v>8</v>
      </c>
      <c r="F2657" s="10"/>
      <c r="G2657" s="10"/>
      <c r="H2657" s="10"/>
      <c r="I2657" s="23"/>
      <c r="J2657" s="10"/>
    </row>
    <row r="2658" spans="1:10" s="230" customFormat="1" x14ac:dyDescent="0.25">
      <c r="A2658" s="7">
        <v>525100824</v>
      </c>
      <c r="B2658" s="22" t="s">
        <v>5231</v>
      </c>
      <c r="C2658" s="10" t="s">
        <v>5234</v>
      </c>
      <c r="D2658" s="10" t="s">
        <v>5235</v>
      </c>
      <c r="E2658" s="10" t="s">
        <v>5236</v>
      </c>
      <c r="F2658" s="238"/>
      <c r="G2658" s="238"/>
      <c r="H2658" s="238"/>
      <c r="I2658" s="239"/>
      <c r="J2658" s="238"/>
    </row>
    <row r="2659" spans="1:10" s="230" customFormat="1" x14ac:dyDescent="0.25">
      <c r="A2659" s="7">
        <v>414065000</v>
      </c>
      <c r="B2659" s="22" t="s">
        <v>5232</v>
      </c>
      <c r="C2659" s="238">
        <v>199</v>
      </c>
      <c r="D2659" s="238">
        <v>33736</v>
      </c>
      <c r="E2659" s="238">
        <v>6.6</v>
      </c>
      <c r="F2659" s="238"/>
      <c r="G2659" s="238"/>
      <c r="H2659" s="238"/>
      <c r="I2659" s="239"/>
      <c r="J2659" s="238"/>
    </row>
    <row r="2660" spans="1:10" s="230" customFormat="1" x14ac:dyDescent="0.25">
      <c r="A2660" s="7">
        <v>414270000</v>
      </c>
      <c r="B2660" s="22" t="s">
        <v>5233</v>
      </c>
      <c r="C2660" s="238">
        <v>224</v>
      </c>
      <c r="D2660" s="238">
        <v>40622</v>
      </c>
      <c r="E2660" s="238">
        <v>7.8</v>
      </c>
      <c r="F2660" s="238"/>
      <c r="G2660" s="238"/>
      <c r="H2660" s="238"/>
      <c r="I2660" s="239"/>
      <c r="J2660" s="238"/>
    </row>
    <row r="2661" spans="1:10" s="230" customFormat="1" x14ac:dyDescent="0.25">
      <c r="A2661" s="7">
        <v>525300199</v>
      </c>
      <c r="B2661" s="22" t="s">
        <v>5238</v>
      </c>
      <c r="C2661" s="10" t="s">
        <v>5239</v>
      </c>
      <c r="D2661" s="10" t="s">
        <v>1537</v>
      </c>
      <c r="E2661" s="10" t="s">
        <v>5240</v>
      </c>
      <c r="F2661" s="238"/>
      <c r="G2661" s="238"/>
      <c r="H2661" s="238"/>
      <c r="I2661" s="23" t="s">
        <v>5243</v>
      </c>
      <c r="J2661" s="238"/>
    </row>
    <row r="2662" spans="1:10" s="230" customFormat="1" x14ac:dyDescent="0.25">
      <c r="A2662" s="7">
        <v>525701063</v>
      </c>
      <c r="B2662" s="22" t="s">
        <v>5237</v>
      </c>
      <c r="C2662" s="10" t="s">
        <v>5241</v>
      </c>
      <c r="D2662" s="10" t="s">
        <v>5242</v>
      </c>
      <c r="E2662" s="10" t="s">
        <v>2073</v>
      </c>
      <c r="F2662" s="238"/>
      <c r="G2662" s="238"/>
      <c r="H2662" s="238"/>
      <c r="I2662" s="239"/>
      <c r="J2662" s="238"/>
    </row>
    <row r="2663" spans="1:10" s="230" customFormat="1" x14ac:dyDescent="0.25">
      <c r="A2663" s="7">
        <v>525525525</v>
      </c>
      <c r="B2663" s="22" t="s">
        <v>5244</v>
      </c>
      <c r="C2663" s="238">
        <v>36.6</v>
      </c>
      <c r="D2663" s="238">
        <v>229</v>
      </c>
      <c r="E2663" s="238">
        <v>1</v>
      </c>
      <c r="F2663" s="238"/>
      <c r="G2663" s="238"/>
      <c r="H2663" s="238"/>
      <c r="I2663" s="239"/>
      <c r="J2663" s="238"/>
    </row>
    <row r="2664" spans="1:10" s="230" customFormat="1" x14ac:dyDescent="0.25">
      <c r="A2664" s="7">
        <v>525100454</v>
      </c>
      <c r="B2664" s="22" t="s">
        <v>5247</v>
      </c>
      <c r="C2664" s="10">
        <v>78</v>
      </c>
      <c r="D2664" s="10">
        <v>1634</v>
      </c>
      <c r="E2664" s="10">
        <v>4.9000000000000004</v>
      </c>
      <c r="F2664" s="243"/>
      <c r="G2664" s="243"/>
      <c r="H2664" s="243"/>
      <c r="I2664" s="23" t="s">
        <v>153</v>
      </c>
      <c r="J2664" s="243"/>
    </row>
    <row r="2665" spans="1:10" s="230" customFormat="1" x14ac:dyDescent="0.25">
      <c r="A2665" s="7">
        <v>352005994</v>
      </c>
      <c r="B2665" s="22" t="s">
        <v>5248</v>
      </c>
      <c r="C2665" s="10" t="s">
        <v>5249</v>
      </c>
      <c r="D2665" s="10">
        <v>36278</v>
      </c>
      <c r="E2665" s="10" t="s">
        <v>763</v>
      </c>
      <c r="F2665" s="243"/>
      <c r="G2665" s="243"/>
      <c r="H2665" s="243"/>
      <c r="I2665" s="244"/>
      <c r="J2665" s="243"/>
    </row>
    <row r="2666" spans="1:10" s="230" customFormat="1" x14ac:dyDescent="0.25">
      <c r="A2666" s="7">
        <v>636015287</v>
      </c>
      <c r="B2666" s="22" t="s">
        <v>5250</v>
      </c>
      <c r="C2666" s="243">
        <v>225</v>
      </c>
      <c r="D2666" s="243">
        <v>41074</v>
      </c>
      <c r="E2666" s="243">
        <v>7.5</v>
      </c>
      <c r="F2666" s="243"/>
      <c r="G2666" s="243"/>
      <c r="H2666" s="243"/>
      <c r="I2666" s="244"/>
      <c r="J2666" s="243"/>
    </row>
    <row r="2667" spans="1:10" s="230" customFormat="1" x14ac:dyDescent="0.25">
      <c r="A2667" s="7">
        <v>525112014</v>
      </c>
      <c r="B2667" s="22" t="s">
        <v>5251</v>
      </c>
      <c r="C2667" s="243">
        <v>190</v>
      </c>
      <c r="D2667" s="243">
        <v>33044</v>
      </c>
      <c r="E2667" s="10">
        <v>10.199999999999999</v>
      </c>
      <c r="F2667" s="243"/>
      <c r="G2667" s="243"/>
      <c r="H2667" s="243"/>
      <c r="I2667" s="244"/>
      <c r="J2667" s="243"/>
    </row>
    <row r="2668" spans="1:10" s="230" customFormat="1" x14ac:dyDescent="0.25">
      <c r="A2668" s="7">
        <v>215882000</v>
      </c>
      <c r="B2668" s="22" t="s">
        <v>5252</v>
      </c>
      <c r="C2668" s="243">
        <v>189.9</v>
      </c>
      <c r="D2668" s="243">
        <v>31250</v>
      </c>
      <c r="E2668" s="243">
        <v>8.4499999999999993</v>
      </c>
      <c r="F2668" s="243"/>
      <c r="G2668" s="243"/>
      <c r="H2668" s="243"/>
      <c r="I2668" s="244"/>
      <c r="J2668" s="243"/>
    </row>
    <row r="2669" spans="1:10" s="230" customFormat="1" x14ac:dyDescent="0.25">
      <c r="A2669" s="7">
        <v>351885000</v>
      </c>
      <c r="B2669" s="22" t="s">
        <v>5253</v>
      </c>
      <c r="C2669" s="243">
        <v>120</v>
      </c>
      <c r="D2669" s="243">
        <v>7561</v>
      </c>
      <c r="E2669" s="243">
        <v>5.5</v>
      </c>
      <c r="F2669" s="243"/>
      <c r="G2669" s="243"/>
      <c r="H2669" s="243"/>
      <c r="I2669" s="244"/>
      <c r="J2669" s="243"/>
    </row>
    <row r="2670" spans="1:10" s="230" customFormat="1" x14ac:dyDescent="0.25">
      <c r="A2670" s="7">
        <v>477211800</v>
      </c>
      <c r="B2670" s="22" t="s">
        <v>5254</v>
      </c>
      <c r="C2670" s="243">
        <v>189</v>
      </c>
      <c r="D2670" s="243">
        <v>33096</v>
      </c>
      <c r="E2670" s="243">
        <v>6.5</v>
      </c>
      <c r="F2670" s="243"/>
      <c r="G2670" s="243"/>
      <c r="H2670" s="243"/>
      <c r="I2670" s="244"/>
      <c r="J2670" s="243"/>
    </row>
    <row r="2671" spans="1:10" s="230" customFormat="1" x14ac:dyDescent="0.25">
      <c r="A2671" s="7">
        <v>525100303</v>
      </c>
      <c r="B2671" s="22" t="s">
        <v>5255</v>
      </c>
      <c r="C2671" s="10" t="s">
        <v>5256</v>
      </c>
      <c r="D2671" s="10" t="s">
        <v>5257</v>
      </c>
      <c r="E2671" s="10" t="s">
        <v>95</v>
      </c>
      <c r="F2671" s="243"/>
      <c r="G2671" s="243"/>
      <c r="H2671" s="243"/>
      <c r="I2671" s="23" t="s">
        <v>39</v>
      </c>
      <c r="J2671" s="243"/>
    </row>
    <row r="2672" spans="1:10" s="230" customFormat="1" x14ac:dyDescent="0.25">
      <c r="A2672" s="7">
        <v>525110346</v>
      </c>
      <c r="B2672" s="22" t="s">
        <v>5258</v>
      </c>
      <c r="C2672" s="243">
        <v>114</v>
      </c>
      <c r="D2672" s="243">
        <v>5720</v>
      </c>
      <c r="E2672" s="243">
        <v>7.2</v>
      </c>
      <c r="F2672" s="243"/>
      <c r="G2672" s="243"/>
      <c r="H2672" s="243"/>
      <c r="I2672" s="23" t="s">
        <v>1707</v>
      </c>
      <c r="J2672" s="243"/>
    </row>
    <row r="2673" spans="1:10" s="230" customFormat="1" x14ac:dyDescent="0.25">
      <c r="A2673" s="7">
        <v>525400542</v>
      </c>
      <c r="B2673" s="22" t="s">
        <v>5262</v>
      </c>
      <c r="C2673" s="10" t="s">
        <v>805</v>
      </c>
      <c r="D2673" s="10" t="s">
        <v>5260</v>
      </c>
      <c r="E2673" s="10" t="s">
        <v>5261</v>
      </c>
      <c r="F2673" s="243"/>
      <c r="G2673" s="243"/>
      <c r="H2673" s="243"/>
      <c r="I2673" s="244"/>
      <c r="J2673" s="243"/>
    </row>
    <row r="2674" spans="1:10" s="230" customFormat="1" x14ac:dyDescent="0.25">
      <c r="A2674" s="7">
        <v>352094000</v>
      </c>
      <c r="B2674" s="22" t="s">
        <v>5259</v>
      </c>
      <c r="C2674" s="243">
        <v>190</v>
      </c>
      <c r="D2674" s="243">
        <v>33308</v>
      </c>
      <c r="E2674" s="243">
        <v>6.5</v>
      </c>
      <c r="F2674" s="243"/>
      <c r="G2674" s="243"/>
      <c r="H2674" s="243"/>
      <c r="I2674" s="244"/>
      <c r="J2674" s="243"/>
    </row>
    <row r="2675" spans="1:10" s="230" customFormat="1" x14ac:dyDescent="0.25">
      <c r="A2675" s="7">
        <v>563209600</v>
      </c>
      <c r="B2675" s="22" t="s">
        <v>5263</v>
      </c>
      <c r="C2675" s="243">
        <v>183</v>
      </c>
      <c r="D2675" s="243">
        <v>29704</v>
      </c>
      <c r="E2675" s="10" t="s">
        <v>3810</v>
      </c>
      <c r="F2675" s="243"/>
      <c r="G2675" s="243"/>
      <c r="H2675" s="243"/>
      <c r="I2675" s="23" t="s">
        <v>1895</v>
      </c>
      <c r="J2675" s="243"/>
    </row>
    <row r="2676" spans="1:10" s="230" customFormat="1" x14ac:dyDescent="0.25">
      <c r="A2676" s="7">
        <v>525022132</v>
      </c>
      <c r="B2676" s="22" t="s">
        <v>5264</v>
      </c>
      <c r="C2676" s="10" t="s">
        <v>5265</v>
      </c>
      <c r="D2676" s="243">
        <v>1211</v>
      </c>
      <c r="E2676" s="10" t="s">
        <v>59</v>
      </c>
      <c r="F2676" s="243"/>
      <c r="G2676" s="243"/>
      <c r="H2676" s="243"/>
      <c r="I2676" s="23" t="s">
        <v>2304</v>
      </c>
      <c r="J2676" s="243"/>
    </row>
    <row r="2677" spans="1:10" s="230" customFormat="1" x14ac:dyDescent="0.25">
      <c r="A2677" s="7">
        <v>525801303</v>
      </c>
      <c r="B2677" s="22" t="s">
        <v>5266</v>
      </c>
      <c r="C2677" s="10" t="s">
        <v>4525</v>
      </c>
      <c r="D2677" s="10" t="s">
        <v>5267</v>
      </c>
      <c r="E2677" s="10" t="s">
        <v>5268</v>
      </c>
      <c r="F2677" s="243"/>
      <c r="G2677" s="243"/>
      <c r="H2677" s="243"/>
      <c r="I2677" s="23" t="s">
        <v>247</v>
      </c>
      <c r="J2677" s="243"/>
    </row>
    <row r="2678" spans="1:10" s="230" customFormat="1" x14ac:dyDescent="0.25">
      <c r="A2678" s="7">
        <v>567001860</v>
      </c>
      <c r="B2678" s="22" t="s">
        <v>5301</v>
      </c>
      <c r="C2678" s="243">
        <v>112</v>
      </c>
      <c r="D2678" s="243">
        <v>4347</v>
      </c>
      <c r="E2678" s="243">
        <v>5.6</v>
      </c>
      <c r="F2678" s="243"/>
      <c r="G2678" s="243"/>
      <c r="H2678" s="243"/>
      <c r="I2678" s="244"/>
      <c r="J2678" s="243"/>
    </row>
    <row r="2679" spans="1:10" s="230" customFormat="1" x14ac:dyDescent="0.25">
      <c r="A2679" s="7">
        <v>566637000</v>
      </c>
      <c r="B2679" s="22" t="s">
        <v>5302</v>
      </c>
      <c r="C2679" s="243">
        <v>179.9</v>
      </c>
      <c r="D2679" s="243">
        <v>20886</v>
      </c>
      <c r="E2679" s="243">
        <v>10.6</v>
      </c>
      <c r="F2679" s="243"/>
      <c r="G2679" s="243"/>
      <c r="H2679" s="243"/>
      <c r="I2679" s="244"/>
      <c r="J2679" s="243"/>
    </row>
    <row r="2680" spans="1:10" s="230" customFormat="1" x14ac:dyDescent="0.25">
      <c r="A2680" s="7">
        <v>525901133</v>
      </c>
      <c r="B2680" s="22" t="s">
        <v>5303</v>
      </c>
      <c r="C2680" s="10" t="s">
        <v>5319</v>
      </c>
      <c r="D2680" s="10" t="s">
        <v>5309</v>
      </c>
      <c r="E2680" s="10" t="s">
        <v>5318</v>
      </c>
      <c r="F2680" s="238"/>
      <c r="G2680" s="238"/>
      <c r="H2680" s="238"/>
      <c r="I2680" s="23" t="s">
        <v>3038</v>
      </c>
      <c r="J2680" s="238"/>
    </row>
    <row r="2681" spans="1:10" s="230" customFormat="1" x14ac:dyDescent="0.25">
      <c r="A2681" s="7">
        <v>477696600</v>
      </c>
      <c r="B2681" s="22" t="s">
        <v>5304</v>
      </c>
      <c r="C2681" s="238">
        <v>190</v>
      </c>
      <c r="D2681" s="238">
        <v>31167</v>
      </c>
      <c r="E2681" s="10" t="s">
        <v>3307</v>
      </c>
      <c r="F2681" s="238"/>
      <c r="G2681" s="238"/>
      <c r="H2681" s="238"/>
      <c r="I2681" s="239"/>
      <c r="J2681" s="238"/>
    </row>
    <row r="2682" spans="1:10" s="230" customFormat="1" x14ac:dyDescent="0.25">
      <c r="A2682" s="7">
        <v>525400187</v>
      </c>
      <c r="B2682" s="22" t="s">
        <v>5305</v>
      </c>
      <c r="C2682" s="10" t="s">
        <v>5306</v>
      </c>
      <c r="D2682" s="10" t="s">
        <v>5307</v>
      </c>
      <c r="E2682" s="40" t="s">
        <v>2290</v>
      </c>
      <c r="F2682" s="238"/>
      <c r="G2682" s="238"/>
      <c r="H2682" s="238"/>
      <c r="I2682" s="23" t="s">
        <v>46</v>
      </c>
      <c r="J2682" s="238"/>
    </row>
    <row r="2683" spans="1:10" s="230" customFormat="1" x14ac:dyDescent="0.25">
      <c r="A2683" s="7">
        <v>525021350</v>
      </c>
      <c r="B2683" s="22" t="s">
        <v>5320</v>
      </c>
      <c r="C2683" s="10" t="s">
        <v>5321</v>
      </c>
      <c r="D2683" s="10" t="s">
        <v>5322</v>
      </c>
      <c r="E2683" s="10" t="s">
        <v>5323</v>
      </c>
      <c r="F2683" s="238"/>
      <c r="G2683" s="238"/>
      <c r="H2683" s="238"/>
      <c r="I2683" s="23" t="s">
        <v>2398</v>
      </c>
      <c r="J2683" s="238"/>
    </row>
    <row r="2684" spans="1:10" s="230" customFormat="1" x14ac:dyDescent="0.25">
      <c r="A2684" s="7">
        <v>525100235</v>
      </c>
      <c r="B2684" s="22" t="s">
        <v>5324</v>
      </c>
      <c r="C2684" s="10" t="s">
        <v>5325</v>
      </c>
      <c r="D2684" s="10" t="s">
        <v>234</v>
      </c>
      <c r="E2684" s="10" t="s">
        <v>5326</v>
      </c>
      <c r="F2684" s="10"/>
      <c r="G2684" s="10"/>
      <c r="H2684" s="10"/>
      <c r="I2684" s="23" t="s">
        <v>92</v>
      </c>
      <c r="J2684" s="10"/>
    </row>
    <row r="2685" spans="1:10" s="230" customFormat="1" x14ac:dyDescent="0.25">
      <c r="A2685" s="24">
        <v>525018292</v>
      </c>
      <c r="B2685" s="22" t="s">
        <v>5327</v>
      </c>
      <c r="C2685" s="10" t="s">
        <v>5328</v>
      </c>
      <c r="D2685" s="10" t="s">
        <v>5329</v>
      </c>
      <c r="E2685" s="10" t="s">
        <v>5330</v>
      </c>
      <c r="F2685" s="10"/>
      <c r="G2685" s="10"/>
      <c r="H2685" s="10"/>
      <c r="I2685" s="23"/>
      <c r="J2685" s="10"/>
    </row>
    <row r="2686" spans="1:10" s="230" customFormat="1" x14ac:dyDescent="0.25">
      <c r="A2686" s="7">
        <v>525901977</v>
      </c>
      <c r="B2686" s="22" t="s">
        <v>5331</v>
      </c>
      <c r="C2686" s="10" t="s">
        <v>5332</v>
      </c>
      <c r="D2686" s="10" t="s">
        <v>5333</v>
      </c>
      <c r="E2686" s="10" t="s">
        <v>5334</v>
      </c>
      <c r="F2686" s="243"/>
      <c r="G2686" s="243"/>
      <c r="H2686" s="243"/>
      <c r="I2686" s="23" t="s">
        <v>39</v>
      </c>
      <c r="J2686" s="243"/>
    </row>
    <row r="2687" spans="1:10" s="230" customFormat="1" x14ac:dyDescent="0.25">
      <c r="A2687" s="87">
        <v>525014017</v>
      </c>
      <c r="B2687" s="22" t="s">
        <v>5335</v>
      </c>
      <c r="C2687" s="243">
        <v>108</v>
      </c>
      <c r="D2687" s="243">
        <v>5183</v>
      </c>
      <c r="E2687" s="10" t="s">
        <v>54</v>
      </c>
      <c r="F2687" s="243"/>
      <c r="G2687" s="243"/>
      <c r="H2687" s="243"/>
      <c r="I2687" s="244"/>
      <c r="J2687" s="243"/>
    </row>
    <row r="2688" spans="1:10" s="230" customFormat="1" x14ac:dyDescent="0.25">
      <c r="A2688" s="7">
        <v>525003377</v>
      </c>
      <c r="B2688" s="22" t="s">
        <v>5337</v>
      </c>
      <c r="C2688" s="10" t="s">
        <v>2306</v>
      </c>
      <c r="D2688" s="10" t="s">
        <v>5338</v>
      </c>
      <c r="E2688" s="10" t="s">
        <v>4294</v>
      </c>
      <c r="F2688" s="243"/>
      <c r="G2688" s="243"/>
      <c r="H2688" s="243"/>
      <c r="I2688" s="23" t="s">
        <v>39</v>
      </c>
      <c r="J2688" s="243"/>
    </row>
    <row r="2689" spans="1:10" s="230" customFormat="1" x14ac:dyDescent="0.25">
      <c r="A2689" s="234">
        <v>525120003</v>
      </c>
      <c r="B2689" s="22" t="s">
        <v>5339</v>
      </c>
      <c r="C2689" s="10" t="s">
        <v>1070</v>
      </c>
      <c r="D2689" s="10" t="s">
        <v>5340</v>
      </c>
      <c r="E2689" s="10" t="s">
        <v>5341</v>
      </c>
      <c r="F2689" s="10"/>
      <c r="G2689" s="10"/>
      <c r="H2689" s="10"/>
      <c r="I2689" s="244"/>
      <c r="J2689" s="243"/>
    </row>
    <row r="2690" spans="1:10" s="230" customFormat="1" x14ac:dyDescent="0.25">
      <c r="A2690" s="246">
        <v>636015672</v>
      </c>
      <c r="B2690" s="22" t="s">
        <v>5342</v>
      </c>
      <c r="C2690" s="243">
        <v>200</v>
      </c>
      <c r="D2690" s="243">
        <v>35812</v>
      </c>
      <c r="E2690" s="243">
        <v>6.75</v>
      </c>
      <c r="F2690" s="243"/>
      <c r="G2690" s="243"/>
      <c r="H2690" s="243"/>
      <c r="I2690" s="244"/>
      <c r="J2690" s="243"/>
    </row>
    <row r="2691" spans="1:10" s="230" customFormat="1" x14ac:dyDescent="0.25">
      <c r="A2691" s="246">
        <v>525801864</v>
      </c>
      <c r="B2691" s="22" t="s">
        <v>5343</v>
      </c>
      <c r="C2691" s="243">
        <v>99.8</v>
      </c>
      <c r="D2691" s="243">
        <v>2895</v>
      </c>
      <c r="E2691" s="243">
        <v>3</v>
      </c>
      <c r="F2691" s="243"/>
      <c r="G2691" s="243"/>
      <c r="H2691" s="243"/>
      <c r="I2691" s="23" t="s">
        <v>1584</v>
      </c>
      <c r="J2691" s="243"/>
    </row>
    <row r="2692" spans="1:10" s="230" customFormat="1" x14ac:dyDescent="0.25">
      <c r="A2692" s="246">
        <v>525010325</v>
      </c>
      <c r="B2692" s="22" t="s">
        <v>5344</v>
      </c>
      <c r="C2692" s="10" t="s">
        <v>5345</v>
      </c>
      <c r="D2692" s="10" t="s">
        <v>5346</v>
      </c>
      <c r="E2692" s="10" t="s">
        <v>5347</v>
      </c>
      <c r="F2692" s="243"/>
      <c r="G2692" s="243"/>
      <c r="H2692" s="243"/>
      <c r="I2692" s="244"/>
      <c r="J2692" s="243"/>
    </row>
    <row r="2693" spans="1:10" s="230" customFormat="1" x14ac:dyDescent="0.25">
      <c r="A2693" s="246">
        <v>525200821</v>
      </c>
      <c r="B2693" s="22" t="s">
        <v>5348</v>
      </c>
      <c r="C2693" s="243">
        <v>93</v>
      </c>
      <c r="D2693" s="243">
        <v>3541</v>
      </c>
      <c r="E2693" s="243">
        <v>7.19</v>
      </c>
      <c r="F2693" s="243"/>
      <c r="G2693" s="243"/>
      <c r="H2693" s="243"/>
      <c r="I2693" s="244"/>
      <c r="J2693" s="243"/>
    </row>
    <row r="2694" spans="1:10" x14ac:dyDescent="0.25">
      <c r="A2694" s="241">
        <v>525201158</v>
      </c>
      <c r="B2694" s="22" t="s">
        <v>5349</v>
      </c>
      <c r="C2694" s="10" t="s">
        <v>3280</v>
      </c>
      <c r="D2694" s="10" t="s">
        <v>2479</v>
      </c>
      <c r="E2694" s="10" t="s">
        <v>5350</v>
      </c>
      <c r="F2694" s="243"/>
      <c r="G2694" s="243"/>
      <c r="H2694" s="243"/>
      <c r="I2694" s="23" t="s">
        <v>65</v>
      </c>
    </row>
    <row r="2695" spans="1:10" s="230" customFormat="1" x14ac:dyDescent="0.25">
      <c r="A2695" s="7">
        <v>525501606</v>
      </c>
      <c r="B2695" s="22" t="s">
        <v>5351</v>
      </c>
      <c r="C2695" s="10" t="s">
        <v>5352</v>
      </c>
      <c r="D2695" s="10" t="s">
        <v>5279</v>
      </c>
      <c r="E2695" s="10" t="s">
        <v>507</v>
      </c>
      <c r="F2695" s="243"/>
      <c r="G2695" s="243"/>
      <c r="H2695" s="243"/>
      <c r="I2695" s="23" t="s">
        <v>249</v>
      </c>
      <c r="J2695" s="243"/>
    </row>
    <row r="2696" spans="1:10" s="230" customFormat="1" x14ac:dyDescent="0.25">
      <c r="A2696" s="7">
        <v>525200338</v>
      </c>
      <c r="B2696" s="22" t="s">
        <v>5355</v>
      </c>
      <c r="C2696" s="10" t="s">
        <v>5356</v>
      </c>
      <c r="D2696" s="10" t="s">
        <v>5357</v>
      </c>
      <c r="E2696" s="10" t="s">
        <v>3675</v>
      </c>
      <c r="F2696" s="10"/>
      <c r="G2696" s="10"/>
      <c r="H2696" s="10"/>
      <c r="I2696" s="23" t="s">
        <v>39</v>
      </c>
      <c r="J2696" s="243"/>
    </row>
    <row r="2697" spans="1:10" s="230" customFormat="1" x14ac:dyDescent="0.25">
      <c r="A2697" s="7">
        <v>566365000</v>
      </c>
      <c r="B2697" s="22" t="s">
        <v>5358</v>
      </c>
      <c r="C2697" s="243">
        <v>224</v>
      </c>
      <c r="D2697" s="243">
        <v>40963</v>
      </c>
      <c r="E2697" s="10" t="s">
        <v>955</v>
      </c>
      <c r="F2697" s="243"/>
      <c r="G2697" s="243"/>
      <c r="H2697" s="243"/>
      <c r="I2697" s="244"/>
      <c r="J2697" s="243"/>
    </row>
    <row r="2698" spans="1:10" s="230" customFormat="1" x14ac:dyDescent="0.25">
      <c r="A2698" s="7">
        <v>631511701</v>
      </c>
      <c r="B2698" s="22" t="s">
        <v>5359</v>
      </c>
      <c r="C2698" s="243">
        <v>61</v>
      </c>
      <c r="D2698" s="243">
        <v>849</v>
      </c>
      <c r="E2698" s="10" t="s">
        <v>101</v>
      </c>
      <c r="F2698" s="243"/>
      <c r="G2698" s="243"/>
      <c r="H2698" s="243"/>
      <c r="I2698" s="244"/>
      <c r="J2698" s="243"/>
    </row>
    <row r="2699" spans="1:10" s="230" customFormat="1" x14ac:dyDescent="0.25">
      <c r="A2699" s="7">
        <v>525701854</v>
      </c>
      <c r="B2699" s="22" t="s">
        <v>5360</v>
      </c>
      <c r="C2699" s="10" t="s">
        <v>5367</v>
      </c>
      <c r="D2699" s="243">
        <v>2512</v>
      </c>
      <c r="E2699" s="10" t="s">
        <v>1061</v>
      </c>
      <c r="F2699" s="243"/>
      <c r="G2699" s="243"/>
      <c r="H2699" s="243"/>
      <c r="I2699" s="244"/>
      <c r="J2699" s="243"/>
    </row>
    <row r="2700" spans="1:10" s="230" customFormat="1" x14ac:dyDescent="0.25">
      <c r="A2700" s="7">
        <v>525021152</v>
      </c>
      <c r="B2700" s="22" t="s">
        <v>5361</v>
      </c>
      <c r="C2700" s="10" t="s">
        <v>5368</v>
      </c>
      <c r="D2700" s="10" t="s">
        <v>5369</v>
      </c>
      <c r="E2700" s="40" t="s">
        <v>5370</v>
      </c>
      <c r="F2700" s="243"/>
      <c r="G2700" s="243"/>
      <c r="H2700" s="243"/>
      <c r="I2700" s="244"/>
      <c r="J2700" s="243"/>
    </row>
    <row r="2701" spans="1:10" s="230" customFormat="1" x14ac:dyDescent="0.25">
      <c r="A2701" s="7">
        <v>525901342</v>
      </c>
      <c r="B2701" s="22" t="s">
        <v>5362</v>
      </c>
      <c r="C2701" s="243">
        <v>147</v>
      </c>
      <c r="D2701" s="243">
        <v>9909</v>
      </c>
      <c r="E2701" s="10" t="s">
        <v>204</v>
      </c>
      <c r="F2701" s="243"/>
      <c r="G2701" s="243"/>
      <c r="H2701" s="243"/>
      <c r="I2701" s="244"/>
      <c r="J2701" s="243"/>
    </row>
    <row r="2702" spans="1:10" s="230" customFormat="1" x14ac:dyDescent="0.25">
      <c r="A2702" s="7">
        <v>525015757</v>
      </c>
      <c r="B2702" s="22" t="s">
        <v>5363</v>
      </c>
      <c r="C2702" s="10" t="s">
        <v>5364</v>
      </c>
      <c r="D2702" s="10" t="s">
        <v>5365</v>
      </c>
      <c r="E2702" s="10" t="s">
        <v>5366</v>
      </c>
      <c r="F2702" s="243"/>
      <c r="G2702" s="243"/>
      <c r="H2702" s="243"/>
      <c r="I2702" s="244"/>
      <c r="J2702" s="243"/>
    </row>
    <row r="2703" spans="1:10" s="230" customFormat="1" x14ac:dyDescent="0.25">
      <c r="A2703" s="7">
        <v>525200439</v>
      </c>
      <c r="B2703" s="22" t="s">
        <v>5371</v>
      </c>
      <c r="C2703" s="10" t="s">
        <v>425</v>
      </c>
      <c r="D2703" s="10" t="s">
        <v>5150</v>
      </c>
      <c r="E2703" s="25" t="s">
        <v>5372</v>
      </c>
      <c r="F2703" s="243"/>
      <c r="G2703" s="243"/>
      <c r="H2703" s="243"/>
      <c r="I2703" s="244"/>
      <c r="J2703" s="243"/>
    </row>
    <row r="2704" spans="1:10" s="230" customFormat="1" x14ac:dyDescent="0.25">
      <c r="A2704" s="21">
        <v>525701543</v>
      </c>
      <c r="B2704" s="22" t="s">
        <v>5373</v>
      </c>
      <c r="C2704" s="10" t="s">
        <v>2213</v>
      </c>
      <c r="D2704" s="10" t="s">
        <v>5374</v>
      </c>
      <c r="E2704" s="10" t="s">
        <v>5375</v>
      </c>
      <c r="F2704" s="10"/>
      <c r="G2704" s="10"/>
      <c r="H2704" s="10"/>
      <c r="I2704" s="23" t="s">
        <v>39</v>
      </c>
      <c r="J2704" s="243"/>
    </row>
    <row r="2705" spans="1:10" s="230" customFormat="1" x14ac:dyDescent="0.25">
      <c r="A2705" s="7">
        <v>525300262</v>
      </c>
      <c r="B2705" s="22" t="s">
        <v>5376</v>
      </c>
      <c r="C2705" s="10" t="s">
        <v>5377</v>
      </c>
      <c r="D2705" s="10" t="s">
        <v>5378</v>
      </c>
      <c r="E2705" s="10" t="s">
        <v>5379</v>
      </c>
      <c r="F2705" s="243"/>
      <c r="G2705" s="243"/>
      <c r="H2705" s="243"/>
      <c r="I2705" s="244"/>
      <c r="J2705" s="243"/>
    </row>
    <row r="2706" spans="1:10" s="230" customFormat="1" x14ac:dyDescent="0.25">
      <c r="A2706" s="7">
        <v>370908000</v>
      </c>
      <c r="B2706" s="22" t="s">
        <v>5380</v>
      </c>
      <c r="C2706" s="243">
        <v>127</v>
      </c>
      <c r="D2706" s="243">
        <v>7494</v>
      </c>
      <c r="E2706" s="10" t="s">
        <v>204</v>
      </c>
      <c r="F2706" s="243"/>
      <c r="G2706" s="243"/>
      <c r="H2706" s="243"/>
      <c r="I2706" s="244"/>
      <c r="J2706" s="243"/>
    </row>
    <row r="2707" spans="1:10" s="230" customFormat="1" x14ac:dyDescent="0.25">
      <c r="A2707" s="7">
        <v>525500759</v>
      </c>
      <c r="B2707" s="22" t="s">
        <v>5384</v>
      </c>
      <c r="C2707" s="243">
        <v>127</v>
      </c>
      <c r="D2707" s="243">
        <v>7341</v>
      </c>
      <c r="E2707" s="243">
        <v>8</v>
      </c>
      <c r="F2707" s="243"/>
      <c r="G2707" s="243"/>
      <c r="H2707" s="243"/>
      <c r="I2707" s="244"/>
      <c r="J2707" s="243"/>
    </row>
    <row r="2708" spans="1:10" s="230" customFormat="1" x14ac:dyDescent="0.25">
      <c r="A2708" s="7">
        <v>525701472</v>
      </c>
      <c r="B2708" s="22" t="s">
        <v>5381</v>
      </c>
      <c r="C2708" s="10" t="s">
        <v>3468</v>
      </c>
      <c r="D2708" s="10" t="s">
        <v>5382</v>
      </c>
      <c r="E2708" s="10" t="s">
        <v>5383</v>
      </c>
      <c r="F2708" s="243"/>
      <c r="G2708" s="243"/>
      <c r="H2708" s="243"/>
      <c r="I2708" s="244"/>
      <c r="J2708" s="243"/>
    </row>
    <row r="2709" spans="1:10" s="230" customFormat="1" x14ac:dyDescent="0.25">
      <c r="A2709" s="7">
        <v>525014124</v>
      </c>
      <c r="B2709" s="22" t="s">
        <v>5385</v>
      </c>
      <c r="C2709" s="10"/>
      <c r="D2709" s="10"/>
      <c r="E2709" s="10"/>
      <c r="F2709" s="10"/>
      <c r="G2709" s="10"/>
      <c r="H2709" s="10"/>
      <c r="I2709" s="23"/>
      <c r="J2709" s="10"/>
    </row>
    <row r="2710" spans="1:10" s="230" customFormat="1" x14ac:dyDescent="0.25">
      <c r="A2710" s="7">
        <v>525018349</v>
      </c>
      <c r="B2710" s="22" t="s">
        <v>5386</v>
      </c>
      <c r="C2710" s="10" t="s">
        <v>5387</v>
      </c>
      <c r="D2710" s="10" t="s">
        <v>5388</v>
      </c>
      <c r="E2710" s="10" t="s">
        <v>5389</v>
      </c>
      <c r="F2710" s="243"/>
      <c r="G2710" s="243"/>
      <c r="H2710" s="243"/>
      <c r="I2710" s="23" t="s">
        <v>1432</v>
      </c>
      <c r="J2710" s="243"/>
    </row>
    <row r="2711" spans="1:10" s="230" customFormat="1" x14ac:dyDescent="0.25">
      <c r="A2711" s="7">
        <v>636025722</v>
      </c>
      <c r="B2711" s="22" t="s">
        <v>5390</v>
      </c>
      <c r="C2711" s="243">
        <v>189</v>
      </c>
      <c r="D2711" s="243">
        <v>32348</v>
      </c>
      <c r="E2711" s="243">
        <v>11</v>
      </c>
      <c r="F2711" s="243"/>
      <c r="G2711" s="243"/>
      <c r="H2711" s="243"/>
      <c r="I2711" s="244"/>
      <c r="J2711" s="243"/>
    </row>
    <row r="2712" spans="1:10" s="230" customFormat="1" x14ac:dyDescent="0.25">
      <c r="A2712" s="7">
        <v>525801867</v>
      </c>
      <c r="B2712" s="22" t="s">
        <v>5391</v>
      </c>
      <c r="C2712" s="243">
        <v>88</v>
      </c>
      <c r="D2712" s="243">
        <v>1997</v>
      </c>
      <c r="E2712" s="243">
        <v>5</v>
      </c>
      <c r="F2712" s="243"/>
      <c r="G2712" s="243"/>
      <c r="H2712" s="243"/>
      <c r="I2712" s="244"/>
      <c r="J2712" s="243"/>
    </row>
    <row r="2713" spans="1:10" s="230" customFormat="1" x14ac:dyDescent="0.25">
      <c r="A2713" s="7">
        <v>525901575</v>
      </c>
      <c r="B2713" s="22" t="s">
        <v>5392</v>
      </c>
      <c r="C2713" s="243">
        <v>88</v>
      </c>
      <c r="D2713" s="243">
        <v>2177</v>
      </c>
      <c r="E2713" s="243">
        <v>1</v>
      </c>
      <c r="F2713" s="243"/>
      <c r="G2713" s="243"/>
      <c r="H2713" s="243"/>
      <c r="I2713" s="23" t="s">
        <v>96</v>
      </c>
      <c r="J2713" s="243"/>
    </row>
    <row r="2714" spans="1:10" s="230" customFormat="1" x14ac:dyDescent="0.25">
      <c r="A2714" s="7">
        <v>525019637</v>
      </c>
      <c r="B2714" s="22" t="s">
        <v>5393</v>
      </c>
      <c r="C2714" s="10" t="s">
        <v>5394</v>
      </c>
      <c r="D2714" s="243">
        <v>1222</v>
      </c>
      <c r="E2714" s="243">
        <v>3</v>
      </c>
      <c r="F2714" s="243"/>
      <c r="G2714" s="243"/>
      <c r="H2714" s="243"/>
      <c r="I2714" s="23" t="s">
        <v>5395</v>
      </c>
      <c r="J2714" s="243"/>
    </row>
    <row r="2715" spans="1:10" s="230" customFormat="1" x14ac:dyDescent="0.25">
      <c r="A2715" s="7">
        <v>525005025</v>
      </c>
      <c r="B2715" s="22" t="s">
        <v>5459</v>
      </c>
      <c r="C2715" s="10" t="s">
        <v>5396</v>
      </c>
      <c r="D2715" s="10" t="s">
        <v>5397</v>
      </c>
      <c r="E2715" s="10" t="s">
        <v>5398</v>
      </c>
      <c r="F2715" s="243"/>
      <c r="G2715" s="243"/>
      <c r="H2715" s="243"/>
      <c r="I2715" s="244"/>
      <c r="J2715" s="243"/>
    </row>
    <row r="2716" spans="1:10" s="230" customFormat="1" x14ac:dyDescent="0.25">
      <c r="A2716" s="7">
        <v>352003379</v>
      </c>
      <c r="B2716" s="22" t="s">
        <v>5399</v>
      </c>
      <c r="C2716" s="10">
        <v>225</v>
      </c>
      <c r="D2716" s="243">
        <v>38835</v>
      </c>
      <c r="E2716" s="243">
        <v>6.9</v>
      </c>
      <c r="F2716" s="243"/>
      <c r="G2716" s="243"/>
      <c r="H2716" s="243"/>
      <c r="I2716" s="244"/>
      <c r="J2716" s="243"/>
    </row>
    <row r="2717" spans="1:10" s="230" customFormat="1" x14ac:dyDescent="0.25">
      <c r="A2717" s="7">
        <v>370306000</v>
      </c>
      <c r="B2717" s="22" t="s">
        <v>5400</v>
      </c>
      <c r="C2717" s="243">
        <v>185.7</v>
      </c>
      <c r="D2717" s="243">
        <v>26216</v>
      </c>
      <c r="E2717" s="243">
        <v>7.2</v>
      </c>
      <c r="F2717" s="243"/>
      <c r="G2717" s="243"/>
      <c r="H2717" s="243"/>
      <c r="I2717" s="244"/>
      <c r="J2717" s="243"/>
    </row>
    <row r="2718" spans="1:10" s="230" customFormat="1" x14ac:dyDescent="0.25">
      <c r="A2718" s="7">
        <v>636024228</v>
      </c>
      <c r="B2718" s="22" t="s">
        <v>5401</v>
      </c>
      <c r="C2718" s="220">
        <v>228.9</v>
      </c>
      <c r="D2718" s="220">
        <v>43036</v>
      </c>
      <c r="E2718" s="220">
        <v>7.05</v>
      </c>
      <c r="F2718" s="220"/>
      <c r="G2718" s="220"/>
      <c r="H2718" s="220"/>
      <c r="I2718" s="221"/>
      <c r="J2718" s="220"/>
    </row>
    <row r="2719" spans="1:10" s="230" customFormat="1" x14ac:dyDescent="0.25">
      <c r="A2719" s="7">
        <v>413229350</v>
      </c>
      <c r="B2719" s="22" t="s">
        <v>5402</v>
      </c>
      <c r="C2719" s="243">
        <v>180</v>
      </c>
      <c r="D2719" s="243">
        <v>22458</v>
      </c>
      <c r="E2719" s="10" t="s">
        <v>3307</v>
      </c>
      <c r="F2719" s="243"/>
      <c r="G2719" s="243"/>
      <c r="H2719" s="243"/>
      <c r="I2719" s="244"/>
      <c r="J2719" s="243"/>
    </row>
    <row r="2720" spans="1:10" s="230" customFormat="1" x14ac:dyDescent="0.25">
      <c r="A2720" s="7">
        <v>255806281</v>
      </c>
      <c r="B2720" s="22" t="s">
        <v>5403</v>
      </c>
      <c r="C2720" s="220">
        <v>229</v>
      </c>
      <c r="D2720" s="220">
        <v>44029</v>
      </c>
      <c r="E2720" s="10" t="s">
        <v>5404</v>
      </c>
      <c r="F2720" s="220"/>
      <c r="G2720" s="220"/>
      <c r="H2720" s="220"/>
      <c r="I2720" s="221"/>
      <c r="J2720" s="220"/>
    </row>
    <row r="2721" spans="1:10" s="230" customFormat="1" x14ac:dyDescent="0.25">
      <c r="A2721" s="7">
        <v>525900770</v>
      </c>
      <c r="B2721" s="22" t="s">
        <v>5406</v>
      </c>
      <c r="C2721" s="10" t="s">
        <v>5407</v>
      </c>
      <c r="D2721" s="10" t="s">
        <v>5408</v>
      </c>
      <c r="E2721" s="40" t="s">
        <v>1060</v>
      </c>
      <c r="F2721" s="249"/>
      <c r="G2721" s="249"/>
      <c r="H2721" s="249"/>
      <c r="I2721" s="250"/>
      <c r="J2721" s="249"/>
    </row>
    <row r="2722" spans="1:10" s="230" customFormat="1" x14ac:dyDescent="0.25">
      <c r="A2722" s="7">
        <v>525018144</v>
      </c>
      <c r="B2722" s="22" t="s">
        <v>5409</v>
      </c>
      <c r="C2722" s="10" t="s">
        <v>5415</v>
      </c>
      <c r="D2722" s="249">
        <v>4469</v>
      </c>
      <c r="E2722" s="10" t="s">
        <v>95</v>
      </c>
      <c r="F2722" s="249"/>
      <c r="G2722" s="249"/>
      <c r="H2722" s="249"/>
      <c r="I2722" s="250"/>
      <c r="J2722" s="249"/>
    </row>
    <row r="2723" spans="1:10" s="230" customFormat="1" x14ac:dyDescent="0.25">
      <c r="A2723" s="7">
        <v>525601846</v>
      </c>
      <c r="B2723" s="22" t="s">
        <v>5410</v>
      </c>
      <c r="C2723" s="10" t="s">
        <v>5411</v>
      </c>
      <c r="D2723" s="10" t="s">
        <v>5412</v>
      </c>
      <c r="E2723" s="10" t="s">
        <v>5413</v>
      </c>
      <c r="F2723" s="249"/>
      <c r="G2723" s="249"/>
      <c r="H2723" s="249"/>
      <c r="I2723" s="250"/>
      <c r="J2723" s="249"/>
    </row>
    <row r="2724" spans="1:10" s="230" customFormat="1" x14ac:dyDescent="0.25">
      <c r="A2724" s="7">
        <v>525015365</v>
      </c>
      <c r="B2724" s="22" t="s">
        <v>5416</v>
      </c>
      <c r="C2724" s="10" t="s">
        <v>5417</v>
      </c>
      <c r="D2724" s="249">
        <v>242</v>
      </c>
      <c r="E2724" s="10" t="s">
        <v>1103</v>
      </c>
      <c r="F2724" s="249"/>
      <c r="G2724" s="249"/>
      <c r="H2724" s="249"/>
      <c r="I2724" s="250"/>
      <c r="J2724" s="249"/>
    </row>
    <row r="2725" spans="1:10" s="230" customFormat="1" x14ac:dyDescent="0.25">
      <c r="A2725" s="7">
        <v>636024072</v>
      </c>
      <c r="B2725" s="22" t="s">
        <v>5414</v>
      </c>
      <c r="C2725" s="10" t="s">
        <v>1299</v>
      </c>
      <c r="D2725" s="249">
        <v>36002</v>
      </c>
      <c r="E2725" s="10" t="s">
        <v>824</v>
      </c>
      <c r="F2725" s="249"/>
      <c r="G2725" s="249"/>
      <c r="H2725" s="249"/>
      <c r="I2725" s="250"/>
      <c r="J2725" s="249"/>
    </row>
    <row r="2726" spans="1:10" s="230" customFormat="1" x14ac:dyDescent="0.25">
      <c r="A2726" s="7">
        <v>525021157</v>
      </c>
      <c r="B2726" s="22" t="s">
        <v>5418</v>
      </c>
      <c r="C2726" s="10" t="s">
        <v>5419</v>
      </c>
      <c r="D2726" s="249">
        <v>2384</v>
      </c>
      <c r="E2726" s="10" t="s">
        <v>1027</v>
      </c>
      <c r="F2726" s="249"/>
      <c r="G2726" s="249"/>
      <c r="H2726" s="249"/>
      <c r="I2726" s="250"/>
      <c r="J2726" s="249"/>
    </row>
    <row r="2727" spans="1:10" s="230" customFormat="1" x14ac:dyDescent="0.25">
      <c r="A2727" s="7">
        <v>525101720</v>
      </c>
      <c r="B2727" s="22" t="s">
        <v>5420</v>
      </c>
      <c r="C2727" s="249"/>
      <c r="D2727" s="249"/>
      <c r="E2727" s="249"/>
      <c r="F2727" s="249"/>
      <c r="G2727" s="249"/>
      <c r="H2727" s="249"/>
      <c r="I2727" s="250"/>
      <c r="J2727" s="249"/>
    </row>
    <row r="2728" spans="1:10" s="230" customFormat="1" x14ac:dyDescent="0.25">
      <c r="A2728" s="7">
        <v>352004405</v>
      </c>
      <c r="B2728" s="22" t="s">
        <v>5423</v>
      </c>
      <c r="C2728" s="10" t="s">
        <v>5424</v>
      </c>
      <c r="D2728" s="249">
        <v>9932</v>
      </c>
      <c r="E2728" s="10" t="s">
        <v>955</v>
      </c>
      <c r="F2728" s="249"/>
      <c r="G2728" s="249"/>
      <c r="H2728" s="249"/>
      <c r="I2728" s="250"/>
      <c r="J2728" s="249"/>
    </row>
    <row r="2729" spans="1:10" s="230" customFormat="1" x14ac:dyDescent="0.25">
      <c r="A2729" s="7">
        <v>525003459</v>
      </c>
      <c r="B2729" s="22" t="s">
        <v>5425</v>
      </c>
      <c r="C2729" s="249">
        <v>47</v>
      </c>
      <c r="D2729" s="249">
        <v>423</v>
      </c>
      <c r="E2729" s="10" t="s">
        <v>1921</v>
      </c>
      <c r="F2729" s="249"/>
      <c r="G2729" s="249"/>
      <c r="H2729" s="249"/>
      <c r="I2729" s="250"/>
      <c r="J2729" s="249"/>
    </row>
    <row r="2730" spans="1:10" s="230" customFormat="1" x14ac:dyDescent="0.25">
      <c r="A2730" s="7">
        <v>525901586</v>
      </c>
      <c r="B2730" s="22" t="s">
        <v>5426</v>
      </c>
      <c r="C2730" s="10" t="s">
        <v>991</v>
      </c>
      <c r="D2730" s="10" t="s">
        <v>4367</v>
      </c>
      <c r="E2730" s="10" t="s">
        <v>897</v>
      </c>
      <c r="F2730" s="249"/>
      <c r="G2730" s="249"/>
      <c r="H2730" s="249"/>
      <c r="I2730" s="250"/>
      <c r="J2730" s="249"/>
    </row>
    <row r="2731" spans="1:10" s="230" customFormat="1" x14ac:dyDescent="0.25">
      <c r="A2731" s="7">
        <v>352006708</v>
      </c>
      <c r="B2731" s="22" t="s">
        <v>5427</v>
      </c>
      <c r="C2731" s="251">
        <v>183</v>
      </c>
      <c r="D2731" s="251">
        <v>29408</v>
      </c>
      <c r="E2731" s="10" t="s">
        <v>135</v>
      </c>
      <c r="F2731" s="251"/>
      <c r="G2731" s="251"/>
      <c r="H2731" s="251"/>
      <c r="I2731" s="252"/>
      <c r="J2731" s="251"/>
    </row>
    <row r="2732" spans="1:10" s="230" customFormat="1" x14ac:dyDescent="0.25">
      <c r="A2732" s="234">
        <v>525012109</v>
      </c>
      <c r="B2732" s="22" t="s">
        <v>5428</v>
      </c>
      <c r="C2732" s="10">
        <v>53</v>
      </c>
      <c r="D2732" s="10">
        <v>638</v>
      </c>
      <c r="E2732" s="10">
        <v>3</v>
      </c>
      <c r="F2732" s="251"/>
      <c r="G2732" s="251"/>
      <c r="H2732" s="251"/>
      <c r="I2732" s="252"/>
      <c r="J2732" s="251"/>
    </row>
    <row r="2733" spans="1:10" s="230" customFormat="1" x14ac:dyDescent="0.25">
      <c r="A2733" s="7">
        <v>525200541</v>
      </c>
      <c r="B2733" s="22" t="s">
        <v>5430</v>
      </c>
      <c r="C2733" s="10" t="s">
        <v>5431</v>
      </c>
      <c r="D2733" s="251">
        <v>226</v>
      </c>
      <c r="E2733" s="251">
        <v>2</v>
      </c>
      <c r="F2733" s="251"/>
      <c r="G2733" s="251"/>
      <c r="H2733" s="251"/>
      <c r="I2733" s="252"/>
      <c r="J2733" s="251"/>
    </row>
    <row r="2734" spans="1:10" s="230" customFormat="1" x14ac:dyDescent="0.25">
      <c r="A2734" s="7">
        <v>525401083</v>
      </c>
      <c r="B2734" s="22" t="s">
        <v>5432</v>
      </c>
      <c r="C2734" s="10" t="s">
        <v>991</v>
      </c>
      <c r="D2734" s="10" t="s">
        <v>5433</v>
      </c>
      <c r="E2734" s="10" t="s">
        <v>5434</v>
      </c>
      <c r="F2734" s="251"/>
      <c r="G2734" s="251"/>
      <c r="H2734" s="251"/>
      <c r="I2734" s="252"/>
      <c r="J2734" s="251"/>
    </row>
    <row r="2735" spans="1:10" s="230" customFormat="1" x14ac:dyDescent="0.25">
      <c r="A2735" s="7">
        <v>525601648</v>
      </c>
      <c r="B2735" s="22" t="s">
        <v>5437</v>
      </c>
      <c r="C2735" s="10" t="s">
        <v>434</v>
      </c>
      <c r="D2735" s="10" t="s">
        <v>5438</v>
      </c>
      <c r="E2735" s="10" t="s">
        <v>5439</v>
      </c>
      <c r="F2735" s="10"/>
      <c r="G2735" s="10"/>
      <c r="H2735" s="10"/>
      <c r="I2735" s="23"/>
      <c r="J2735" s="10"/>
    </row>
    <row r="2736" spans="1:10" s="230" customFormat="1" x14ac:dyDescent="0.25">
      <c r="A2736" s="7">
        <v>525701343</v>
      </c>
      <c r="B2736" s="22" t="s">
        <v>5440</v>
      </c>
      <c r="C2736" s="10" t="s">
        <v>5441</v>
      </c>
      <c r="D2736" s="10" t="s">
        <v>5279</v>
      </c>
      <c r="E2736" s="10" t="s">
        <v>5442</v>
      </c>
      <c r="F2736" s="10"/>
      <c r="G2736" s="10"/>
      <c r="H2736" s="10"/>
      <c r="I2736" s="23"/>
      <c r="J2736" s="10"/>
    </row>
    <row r="2737" spans="1:10" s="230" customFormat="1" x14ac:dyDescent="0.25">
      <c r="A2737" s="7">
        <v>525000111</v>
      </c>
      <c r="B2737" s="22" t="s">
        <v>5443</v>
      </c>
      <c r="C2737" s="10">
        <v>75</v>
      </c>
      <c r="D2737" s="10">
        <v>1353</v>
      </c>
      <c r="E2737" s="10" t="s">
        <v>164</v>
      </c>
      <c r="F2737" s="10"/>
      <c r="G2737" s="10"/>
      <c r="H2737" s="10"/>
      <c r="I2737" s="23"/>
      <c r="J2737" s="10"/>
    </row>
    <row r="2738" spans="1:10" s="230" customFormat="1" x14ac:dyDescent="0.25">
      <c r="A2738" s="7">
        <v>525100931</v>
      </c>
      <c r="B2738" s="22" t="s">
        <v>5444</v>
      </c>
      <c r="C2738" s="10" t="s">
        <v>5445</v>
      </c>
      <c r="D2738" s="10" t="s">
        <v>5446</v>
      </c>
      <c r="E2738" s="10" t="s">
        <v>3804</v>
      </c>
      <c r="F2738" s="10"/>
      <c r="G2738" s="10"/>
      <c r="H2738" s="10"/>
      <c r="I2738" s="23"/>
      <c r="J2738" s="10"/>
    </row>
    <row r="2739" spans="1:10" s="230" customFormat="1" x14ac:dyDescent="0.25">
      <c r="A2739" s="7">
        <v>525018432</v>
      </c>
      <c r="B2739" s="22" t="s">
        <v>5447</v>
      </c>
      <c r="C2739" s="10" t="s">
        <v>991</v>
      </c>
      <c r="D2739" s="10" t="s">
        <v>5448</v>
      </c>
      <c r="E2739" s="10" t="s">
        <v>5449</v>
      </c>
      <c r="F2739" s="10"/>
      <c r="G2739" s="10"/>
      <c r="H2739" s="10"/>
      <c r="I2739" s="23"/>
      <c r="J2739" s="10"/>
    </row>
    <row r="2740" spans="1:10" s="230" customFormat="1" x14ac:dyDescent="0.25">
      <c r="A2740" s="7">
        <v>574012854</v>
      </c>
      <c r="B2740" s="22" t="s">
        <v>5452</v>
      </c>
      <c r="C2740" s="10">
        <v>136</v>
      </c>
      <c r="D2740" s="10">
        <v>8223</v>
      </c>
      <c r="E2740" s="10" t="s">
        <v>933</v>
      </c>
      <c r="F2740" s="10"/>
      <c r="G2740" s="10"/>
      <c r="H2740" s="10"/>
      <c r="I2740" s="23"/>
      <c r="J2740" s="10"/>
    </row>
    <row r="2741" spans="1:10" s="230" customFormat="1" x14ac:dyDescent="0.25">
      <c r="A2741" s="7">
        <v>538007058</v>
      </c>
      <c r="B2741" s="22" t="s">
        <v>5453</v>
      </c>
      <c r="C2741" s="10" t="s">
        <v>5454</v>
      </c>
      <c r="D2741" s="10">
        <v>11951</v>
      </c>
      <c r="E2741" s="10" t="s">
        <v>782</v>
      </c>
      <c r="F2741" s="10"/>
      <c r="G2741" s="10"/>
      <c r="H2741" s="10"/>
      <c r="I2741" s="23"/>
      <c r="J2741" s="10"/>
    </row>
    <row r="2742" spans="1:10" s="230" customFormat="1" x14ac:dyDescent="0.25">
      <c r="A2742" s="7">
        <v>525445046</v>
      </c>
      <c r="B2742" s="22" t="s">
        <v>5464</v>
      </c>
      <c r="C2742" s="10" t="s">
        <v>5481</v>
      </c>
      <c r="D2742" s="10" t="s">
        <v>5482</v>
      </c>
      <c r="E2742" s="10" t="s">
        <v>5483</v>
      </c>
      <c r="F2742" s="251"/>
      <c r="G2742" s="251"/>
      <c r="H2742" s="251"/>
      <c r="I2742" s="252"/>
      <c r="J2742" s="251"/>
    </row>
    <row r="2743" spans="1:10" s="230" customFormat="1" x14ac:dyDescent="0.25">
      <c r="A2743" s="7">
        <v>525022139</v>
      </c>
      <c r="B2743" s="22" t="s">
        <v>5465</v>
      </c>
      <c r="C2743" s="10" t="s">
        <v>5466</v>
      </c>
      <c r="D2743" s="10" t="s">
        <v>5467</v>
      </c>
      <c r="E2743" s="10" t="s">
        <v>3180</v>
      </c>
      <c r="F2743" s="251"/>
      <c r="G2743" s="251"/>
      <c r="H2743" s="251"/>
      <c r="I2743" s="252"/>
      <c r="J2743" s="251"/>
    </row>
    <row r="2744" spans="1:10" s="230" customFormat="1" x14ac:dyDescent="0.25">
      <c r="A2744" s="7">
        <v>525700134</v>
      </c>
      <c r="B2744" s="22" t="s">
        <v>5468</v>
      </c>
      <c r="C2744" s="10" t="s">
        <v>5469</v>
      </c>
      <c r="D2744" s="10" t="s">
        <v>5470</v>
      </c>
      <c r="E2744" s="10" t="s">
        <v>5471</v>
      </c>
      <c r="F2744" s="251"/>
      <c r="G2744" s="251"/>
      <c r="H2744" s="251"/>
      <c r="I2744" s="252"/>
      <c r="J2744" s="251"/>
    </row>
    <row r="2745" spans="1:10" s="230" customFormat="1" x14ac:dyDescent="0.25">
      <c r="A2745" s="7">
        <v>525005168</v>
      </c>
      <c r="B2745" s="22" t="s">
        <v>5472</v>
      </c>
      <c r="C2745" s="258" t="s">
        <v>5484</v>
      </c>
      <c r="D2745" s="10" t="s">
        <v>992</v>
      </c>
      <c r="E2745" s="10" t="s">
        <v>5473</v>
      </c>
      <c r="F2745" s="251"/>
      <c r="G2745" s="251"/>
      <c r="H2745" s="251"/>
      <c r="I2745" s="252"/>
      <c r="J2745" s="251"/>
    </row>
    <row r="2746" spans="1:10" s="230" customFormat="1" x14ac:dyDescent="0.25">
      <c r="A2746" s="7">
        <v>525801122</v>
      </c>
      <c r="B2746" s="22" t="s">
        <v>5474</v>
      </c>
      <c r="C2746" s="251"/>
      <c r="D2746" s="251"/>
      <c r="E2746" s="251"/>
      <c r="F2746" s="251"/>
      <c r="G2746" s="251"/>
      <c r="H2746" s="251"/>
      <c r="I2746" s="252"/>
      <c r="J2746" s="251"/>
    </row>
    <row r="2747" spans="1:10" s="230" customFormat="1" x14ac:dyDescent="0.25">
      <c r="A2747" s="7">
        <v>525007175</v>
      </c>
      <c r="B2747" s="22" t="s">
        <v>5475</v>
      </c>
      <c r="C2747" s="10" t="s">
        <v>5476</v>
      </c>
      <c r="D2747" s="249"/>
      <c r="E2747" s="249"/>
      <c r="F2747" s="249"/>
      <c r="G2747" s="249"/>
      <c r="H2747" s="249"/>
      <c r="I2747" s="250"/>
      <c r="J2747" s="249"/>
    </row>
    <row r="2748" spans="1:10" s="230" customFormat="1" x14ac:dyDescent="0.25">
      <c r="A2748" s="7">
        <v>525000000</v>
      </c>
      <c r="B2748" s="22" t="s">
        <v>5485</v>
      </c>
      <c r="C2748" s="10" t="s">
        <v>5486</v>
      </c>
      <c r="D2748" s="10" t="s">
        <v>5487</v>
      </c>
      <c r="E2748" s="10" t="s">
        <v>1657</v>
      </c>
      <c r="F2748" s="256"/>
      <c r="G2748" s="256"/>
      <c r="H2748" s="256"/>
      <c r="I2748" s="257"/>
      <c r="J2748" s="256"/>
    </row>
    <row r="2749" spans="1:10" s="230" customFormat="1" x14ac:dyDescent="0.25">
      <c r="A2749" s="7">
        <v>636093180</v>
      </c>
      <c r="B2749" s="22" t="s">
        <v>5488</v>
      </c>
      <c r="C2749" s="256">
        <v>229</v>
      </c>
      <c r="D2749" s="256">
        <v>44065</v>
      </c>
      <c r="E2749" s="256">
        <v>7.05</v>
      </c>
      <c r="F2749" s="256"/>
      <c r="G2749" s="256"/>
      <c r="H2749" s="256"/>
      <c r="I2749" s="257"/>
      <c r="J2749" s="256"/>
    </row>
    <row r="2750" spans="1:10" s="230" customFormat="1" x14ac:dyDescent="0.25">
      <c r="A2750" s="7">
        <v>538006763</v>
      </c>
      <c r="B2750" s="22" t="s">
        <v>5489</v>
      </c>
      <c r="C2750" s="256">
        <v>184</v>
      </c>
      <c r="D2750" s="256">
        <v>29429</v>
      </c>
      <c r="E2750" s="256">
        <v>10.6</v>
      </c>
      <c r="F2750" s="256"/>
      <c r="G2750" s="256"/>
      <c r="H2750" s="256"/>
      <c r="I2750" s="257"/>
      <c r="J2750" s="256"/>
    </row>
    <row r="2751" spans="1:10" s="230" customFormat="1" x14ac:dyDescent="0.25">
      <c r="A2751" s="7">
        <v>525003462</v>
      </c>
      <c r="B2751" s="22" t="s">
        <v>5504</v>
      </c>
      <c r="C2751" s="10" t="s">
        <v>5505</v>
      </c>
      <c r="D2751" s="10" t="s">
        <v>5506</v>
      </c>
      <c r="E2751" s="10" t="s">
        <v>5507</v>
      </c>
      <c r="F2751" s="256"/>
      <c r="G2751" s="256"/>
      <c r="H2751" s="256"/>
      <c r="I2751" s="257"/>
      <c r="J2751" s="256"/>
    </row>
    <row r="2752" spans="1:10" s="230" customFormat="1" x14ac:dyDescent="0.25">
      <c r="A2752" s="7">
        <v>413392340</v>
      </c>
      <c r="B2752" s="22" t="s">
        <v>5508</v>
      </c>
      <c r="C2752" s="10" t="s">
        <v>5509</v>
      </c>
      <c r="D2752" s="256">
        <v>12964</v>
      </c>
      <c r="E2752" s="10" t="s">
        <v>1221</v>
      </c>
      <c r="F2752" s="256"/>
      <c r="G2752" s="256"/>
      <c r="H2752" s="256"/>
      <c r="I2752" s="257"/>
      <c r="J2752" s="256"/>
    </row>
    <row r="2753" spans="1:10" s="230" customFormat="1" x14ac:dyDescent="0.25">
      <c r="A2753" s="7">
        <v>525901185</v>
      </c>
      <c r="B2753" s="22" t="s">
        <v>5542</v>
      </c>
      <c r="C2753" s="10" t="s">
        <v>5543</v>
      </c>
      <c r="D2753" s="10" t="s">
        <v>5544</v>
      </c>
      <c r="E2753" s="10" t="s">
        <v>3750</v>
      </c>
      <c r="F2753" s="256"/>
      <c r="G2753" s="256"/>
      <c r="H2753" s="256"/>
      <c r="I2753" s="257"/>
      <c r="J2753" s="256"/>
    </row>
    <row r="2754" spans="1:10" s="230" customFormat="1" x14ac:dyDescent="0.25">
      <c r="A2754" s="254"/>
      <c r="B2754" s="255"/>
      <c r="C2754" s="256"/>
      <c r="D2754" s="256"/>
      <c r="E2754" s="256"/>
      <c r="F2754" s="256"/>
      <c r="G2754" s="256"/>
      <c r="H2754" s="256"/>
      <c r="I2754" s="257"/>
      <c r="J2754" s="256"/>
    </row>
    <row r="2755" spans="1:10" s="230" customFormat="1" x14ac:dyDescent="0.25">
      <c r="A2755" s="254"/>
      <c r="B2755" s="255"/>
      <c r="C2755" s="256"/>
      <c r="D2755" s="256"/>
      <c r="E2755" s="256"/>
      <c r="F2755" s="256"/>
      <c r="G2755" s="256"/>
      <c r="H2755" s="256"/>
      <c r="I2755" s="257"/>
      <c r="J2755" s="256"/>
    </row>
    <row r="2756" spans="1:10" s="230" customFormat="1" x14ac:dyDescent="0.25">
      <c r="A2756" s="247"/>
      <c r="B2756" s="248"/>
      <c r="C2756" s="249"/>
      <c r="D2756" s="249"/>
      <c r="E2756" s="249"/>
      <c r="F2756" s="249"/>
      <c r="G2756" s="249"/>
      <c r="H2756" s="249"/>
      <c r="I2756" s="250"/>
      <c r="J2756" s="249"/>
    </row>
    <row r="2757" spans="1:10" s="230" customFormat="1" x14ac:dyDescent="0.25">
      <c r="A2757" s="231"/>
      <c r="B2757" s="232"/>
      <c r="C2757" s="220"/>
      <c r="D2757" s="220"/>
      <c r="E2757" s="220"/>
      <c r="F2757" s="220"/>
      <c r="G2757" s="220"/>
      <c r="H2757" s="220"/>
      <c r="I2757" s="221"/>
      <c r="J2757" s="220"/>
    </row>
    <row r="2758" spans="1:10" s="230" customFormat="1" x14ac:dyDescent="0.25">
      <c r="A2758" s="231">
        <v>525003523</v>
      </c>
      <c r="B2758" s="232" t="s">
        <v>1649</v>
      </c>
      <c r="C2758" s="220" t="s">
        <v>1721</v>
      </c>
      <c r="D2758" s="220" t="s">
        <v>234</v>
      </c>
      <c r="E2758" s="220" t="s">
        <v>1722</v>
      </c>
      <c r="F2758" s="220"/>
      <c r="G2758" s="220"/>
      <c r="H2758" s="220"/>
      <c r="I2758" s="221" t="s">
        <v>92</v>
      </c>
      <c r="J2758" s="220"/>
    </row>
    <row r="2759" spans="1:10" s="230" customFormat="1" x14ac:dyDescent="0.25">
      <c r="A2759" s="7">
        <v>563697000</v>
      </c>
      <c r="B2759" s="22" t="s">
        <v>3615</v>
      </c>
      <c r="C2759" s="220">
        <v>210</v>
      </c>
      <c r="D2759" s="220">
        <v>52938</v>
      </c>
      <c r="E2759" s="220">
        <v>9.9</v>
      </c>
      <c r="F2759" s="220"/>
      <c r="G2759" s="220"/>
      <c r="H2759" s="220"/>
      <c r="I2759" s="221"/>
      <c r="J2759" s="220"/>
    </row>
    <row r="2760" spans="1:10" s="230" customFormat="1" x14ac:dyDescent="0.25">
      <c r="A2760" s="7">
        <v>372116000</v>
      </c>
      <c r="B2760" s="22" t="s">
        <v>5122</v>
      </c>
      <c r="C2760" s="220">
        <v>124.5</v>
      </c>
      <c r="D2760" s="220">
        <v>9981</v>
      </c>
      <c r="E2760" s="220">
        <v>5.4</v>
      </c>
      <c r="F2760" s="220"/>
      <c r="G2760" s="220"/>
      <c r="H2760" s="220"/>
      <c r="I2760" s="23" t="s">
        <v>262</v>
      </c>
      <c r="J2760" s="220"/>
    </row>
    <row r="2761" spans="1:10" s="230" customFormat="1" x14ac:dyDescent="0.25">
      <c r="A2761" s="7">
        <v>440323000</v>
      </c>
      <c r="B2761" s="22" t="s">
        <v>5123</v>
      </c>
      <c r="C2761" s="220">
        <v>147.80000000000001</v>
      </c>
      <c r="D2761" s="220">
        <v>12105</v>
      </c>
      <c r="E2761" s="220">
        <v>5.5</v>
      </c>
      <c r="F2761" s="220"/>
      <c r="G2761" s="220"/>
      <c r="H2761" s="220"/>
      <c r="I2761" s="23" t="s">
        <v>160</v>
      </c>
      <c r="J2761" s="220"/>
    </row>
    <row r="2762" spans="1:10" s="230" customFormat="1" x14ac:dyDescent="0.25">
      <c r="A2762" s="21">
        <v>563237200</v>
      </c>
      <c r="B2762" s="22" t="s">
        <v>5128</v>
      </c>
      <c r="C2762" s="10">
        <v>175.5</v>
      </c>
      <c r="D2762" s="10">
        <v>19758</v>
      </c>
      <c r="E2762" s="10">
        <v>6.3</v>
      </c>
      <c r="F2762" s="10"/>
      <c r="G2762" s="10"/>
      <c r="H2762" s="10"/>
      <c r="I2762" s="23" t="s">
        <v>160</v>
      </c>
      <c r="J2762" s="220"/>
    </row>
    <row r="2763" spans="1:10" s="230" customFormat="1" x14ac:dyDescent="0.25">
      <c r="A2763" s="7">
        <v>525100941</v>
      </c>
      <c r="B2763" s="22" t="s">
        <v>5124</v>
      </c>
      <c r="C2763" s="10" t="s">
        <v>2567</v>
      </c>
      <c r="D2763" s="10" t="s">
        <v>5125</v>
      </c>
      <c r="E2763" s="10" t="s">
        <v>5126</v>
      </c>
      <c r="F2763" s="220"/>
      <c r="G2763" s="220"/>
      <c r="H2763" s="220"/>
      <c r="I2763" s="221"/>
      <c r="J2763" s="220"/>
    </row>
    <row r="2764" spans="1:10" s="230" customFormat="1" x14ac:dyDescent="0.25">
      <c r="A2764" s="7">
        <v>249905000</v>
      </c>
      <c r="B2764" s="22" t="s">
        <v>5127</v>
      </c>
      <c r="C2764" s="220">
        <v>183.2</v>
      </c>
      <c r="D2764" s="220">
        <v>29534</v>
      </c>
      <c r="E2764" s="220">
        <v>7.55</v>
      </c>
      <c r="F2764" s="220"/>
      <c r="G2764" s="220"/>
      <c r="H2764" s="220"/>
      <c r="I2764" s="23" t="s">
        <v>160</v>
      </c>
      <c r="J2764" s="220"/>
    </row>
    <row r="2765" spans="1:10" s="230" customFormat="1" x14ac:dyDescent="0.25">
      <c r="A2765" s="7">
        <v>525121105</v>
      </c>
      <c r="B2765" s="22" t="s">
        <v>5129</v>
      </c>
      <c r="C2765" s="10" t="s">
        <v>5130</v>
      </c>
      <c r="D2765" s="10" t="s">
        <v>5131</v>
      </c>
      <c r="E2765" s="10" t="s">
        <v>5132</v>
      </c>
      <c r="F2765" s="220"/>
      <c r="G2765" s="220"/>
      <c r="H2765" s="220"/>
      <c r="I2765" s="23" t="s">
        <v>1448</v>
      </c>
      <c r="J2765" s="220"/>
    </row>
    <row r="2766" spans="1:10" s="230" customFormat="1" x14ac:dyDescent="0.25">
      <c r="A2766" s="7">
        <v>525110228</v>
      </c>
      <c r="B2766" s="22" t="s">
        <v>5133</v>
      </c>
      <c r="C2766" s="220">
        <v>96.6</v>
      </c>
      <c r="D2766" s="220">
        <v>4833</v>
      </c>
      <c r="E2766" s="220">
        <v>3.6</v>
      </c>
      <c r="F2766" s="220"/>
      <c r="G2766" s="220"/>
      <c r="H2766" s="220"/>
      <c r="I2766" s="221"/>
      <c r="J2766" s="220"/>
    </row>
    <row r="2767" spans="1:10" s="230" customFormat="1" x14ac:dyDescent="0.25">
      <c r="A2767" s="228">
        <v>525200332</v>
      </c>
      <c r="B2767" s="14" t="s">
        <v>5134</v>
      </c>
      <c r="C2767" s="16">
        <v>192</v>
      </c>
      <c r="D2767" s="16">
        <v>32242</v>
      </c>
      <c r="E2767" s="16">
        <v>6</v>
      </c>
      <c r="F2767" s="220"/>
      <c r="G2767" s="220"/>
      <c r="H2767" s="220"/>
      <c r="I2767" s="23" t="s">
        <v>48</v>
      </c>
      <c r="J2767" s="220"/>
    </row>
    <row r="2768" spans="1:10" s="230" customFormat="1" x14ac:dyDescent="0.25">
      <c r="A2768" s="224">
        <v>525006170</v>
      </c>
      <c r="B2768" s="229" t="s">
        <v>5115</v>
      </c>
      <c r="C2768" s="224" t="s">
        <v>1394</v>
      </c>
      <c r="D2768" s="224" t="s">
        <v>1261</v>
      </c>
      <c r="E2768" s="224" t="s">
        <v>5116</v>
      </c>
      <c r="F2768" s="224"/>
      <c r="G2768" s="224"/>
      <c r="H2768" s="224"/>
      <c r="I2768" s="224" t="s">
        <v>41</v>
      </c>
      <c r="J2768" s="224"/>
    </row>
    <row r="2769" spans="1:10" x14ac:dyDescent="0.25">
      <c r="A2769" s="228" t="s">
        <v>2012</v>
      </c>
      <c r="B2769" s="14"/>
      <c r="C2769" s="16"/>
      <c r="D2769" s="16"/>
      <c r="E2769" s="16"/>
      <c r="F2769" s="16"/>
      <c r="G2769" s="16"/>
      <c r="H2769" s="16"/>
      <c r="I2769" s="235">
        <f>SUBTOTAL(103,Table2[AGEN ( SINGKATAN )])</f>
        <v>2522</v>
      </c>
      <c r="J2769" s="16"/>
    </row>
  </sheetData>
  <mergeCells count="1">
    <mergeCell ref="A2:I2"/>
  </mergeCells>
  <pageMargins left="0.7" right="0.7" top="0.75" bottom="0.75" header="0.3" footer="0.3"/>
  <pageSetup paperSize="5" scale="46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A2</vt:lpstr>
      <vt:lpstr>database.kpl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panjangsrop VTS</cp:lastModifiedBy>
  <cp:lastPrinted>2026-06-14T01:04:07Z</cp:lastPrinted>
  <dcterms:created xsi:type="dcterms:W3CDTF">2016-02-25T22:09:28Z</dcterms:created>
  <dcterms:modified xsi:type="dcterms:W3CDTF">2026-06-17T00:58:28Z</dcterms:modified>
</cp:coreProperties>
</file>